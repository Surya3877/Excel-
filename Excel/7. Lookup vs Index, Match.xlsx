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definedNames>
    <definedName name="_xlnm._FilterDatabase" localSheetId="0" hidden="1">Sheet1!$A$44:$E$64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05" i="1" l="1"/>
  <c r="S100" i="1"/>
  <c r="S95" i="1"/>
  <c r="X89" i="1"/>
  <c r="S89" i="1"/>
  <c r="X83" i="1"/>
  <c r="S84" i="1"/>
  <c r="S83" i="1"/>
  <c r="S78" i="1"/>
  <c r="S73" i="1"/>
  <c r="S67" i="1"/>
  <c r="I67" i="1"/>
  <c r="S59" i="1"/>
  <c r="I59" i="1"/>
  <c r="S53" i="1"/>
  <c r="I53" i="1"/>
  <c r="S47" i="1"/>
  <c r="I47" i="1"/>
  <c r="T31" i="1"/>
  <c r="I31" i="1"/>
  <c r="T24" i="1"/>
  <c r="I24" i="1"/>
</calcChain>
</file>

<file path=xl/sharedStrings.xml><?xml version="1.0" encoding="utf-8"?>
<sst xmlns="http://schemas.openxmlformats.org/spreadsheetml/2006/main" count="291" uniqueCount="86">
  <si>
    <t>Emp ID</t>
  </si>
  <si>
    <t>Emp Name</t>
  </si>
  <si>
    <t>Email Address</t>
  </si>
  <si>
    <t>Job Title</t>
  </si>
  <si>
    <t>Salary</t>
  </si>
  <si>
    <t>Rocco Anderson</t>
  </si>
  <si>
    <t>Rocco_Anderson5427@acrit.org</t>
  </si>
  <si>
    <t>Project Manager</t>
  </si>
  <si>
    <t>Hank Saunders</t>
  </si>
  <si>
    <t>Hank_Saunders8364@extex.org</t>
  </si>
  <si>
    <t>Chef Manager</t>
  </si>
  <si>
    <t>Eden Connell</t>
  </si>
  <si>
    <t>Eden_Connell4891@irrepsy.com</t>
  </si>
  <si>
    <t>Owen Lindop</t>
  </si>
  <si>
    <t>Owen_Lindop4826@womeona.net</t>
  </si>
  <si>
    <t>Business Broker</t>
  </si>
  <si>
    <t>Barney Cavanagh</t>
  </si>
  <si>
    <t>Barney_Cavanagh8048@extex.org</t>
  </si>
  <si>
    <t>Fabricator</t>
  </si>
  <si>
    <t>Mason Randall</t>
  </si>
  <si>
    <t>Mason_Randall7355@sheye.org</t>
  </si>
  <si>
    <t>Food Technologist</t>
  </si>
  <si>
    <t>Penelope Burge</t>
  </si>
  <si>
    <t>Penelope_Burge3295@cispeto.com</t>
  </si>
  <si>
    <t>Book keeper</t>
  </si>
  <si>
    <t>Fred Stone</t>
  </si>
  <si>
    <t>Fred_Stone667@cispeto.com</t>
  </si>
  <si>
    <t>Stock broker</t>
  </si>
  <si>
    <t>Javier Power</t>
  </si>
  <si>
    <t>Javier_Power8197@infotech44.tech</t>
  </si>
  <si>
    <t>Designer</t>
  </si>
  <si>
    <t>Joyce London</t>
  </si>
  <si>
    <t>Joyce_London9945@bulaffy.com</t>
  </si>
  <si>
    <t>Steward</t>
  </si>
  <si>
    <t>Eduardo Dale</t>
  </si>
  <si>
    <t>Eduardo_Dale6990@sheye.org</t>
  </si>
  <si>
    <t>HR Coordinator</t>
  </si>
  <si>
    <t>Wade Hepburn</t>
  </si>
  <si>
    <t>Wade_Hepburn96@gmail.com</t>
  </si>
  <si>
    <t>Mobile Developer</t>
  </si>
  <si>
    <t>Barney Selby</t>
  </si>
  <si>
    <t>Barney_Selby4788@irrepsy.com</t>
  </si>
  <si>
    <t>Baker</t>
  </si>
  <si>
    <t>Peter Daniells</t>
  </si>
  <si>
    <t>Peter_Daniells7930@guentu.biz</t>
  </si>
  <si>
    <t>Webmaster</t>
  </si>
  <si>
    <t>Percy Denton</t>
  </si>
  <si>
    <t>Percy_Denton5997@bretoux.com</t>
  </si>
  <si>
    <t>Treasurer</t>
  </si>
  <si>
    <t>Ronald Rycroft</t>
  </si>
  <si>
    <t>Ronald_Rycroft7391@fuliss.net</t>
  </si>
  <si>
    <t>Noah Kidd</t>
  </si>
  <si>
    <t>Noah_Kidd6142@gompie.com</t>
  </si>
  <si>
    <t>Banker</t>
  </si>
  <si>
    <t>Mark Freeburn</t>
  </si>
  <si>
    <t>Mark_Freeburn4410@brety.org</t>
  </si>
  <si>
    <t>Retail Trainee</t>
  </si>
  <si>
    <t>Melanie Cartwright</t>
  </si>
  <si>
    <t>Melanie_Cartwright8871@irrepsy.com</t>
  </si>
  <si>
    <t>IT Support Staff</t>
  </si>
  <si>
    <t>Harvey Andrews</t>
  </si>
  <si>
    <t>Harvey_Andrews619@mafthy.com</t>
  </si>
  <si>
    <t>Q1) Find the employee name with employee id 107</t>
  </si>
  <si>
    <t>Q2) Find the job title of Fred Stone.</t>
  </si>
  <si>
    <t>Q3) Find the salary of Eden Connell using Hlookup</t>
  </si>
  <si>
    <t>Q4) Find the job title for Emp ID 105</t>
  </si>
  <si>
    <t>Q5) Find the salary of Hank Saunders</t>
  </si>
  <si>
    <t>Q6) Find the Emp ID of Owen_Lindop4826@womeona.net</t>
  </si>
  <si>
    <t>Q7) What the Job Title of Javier Power?</t>
  </si>
  <si>
    <t>Q8) What is the Emp ID of the person with email Peter_Daniells7930@guentu.biz</t>
  </si>
  <si>
    <t>Q9) What is the job title and salary of Eduardo Dale?</t>
  </si>
  <si>
    <t>Q10) Find Name not found for Emp ID 121</t>
  </si>
  <si>
    <t xml:space="preserve">Q11) Find the salary of Peter Daniells </t>
  </si>
  <si>
    <t>Q12) Find the Emp ID with salary $10000</t>
  </si>
  <si>
    <t>Q13) Check for employee James Bond. If the value is not present, display "Not Found".</t>
  </si>
  <si>
    <t>Lookup vs Index and Match</t>
  </si>
  <si>
    <t>Using Lookup</t>
  </si>
  <si>
    <t>Using Index &amp; Match</t>
  </si>
  <si>
    <t>Using H-Lookup</t>
  </si>
  <si>
    <t>Job ID</t>
  </si>
  <si>
    <t>Email</t>
  </si>
  <si>
    <t xml:space="preserve">Job Title </t>
  </si>
  <si>
    <t>or</t>
  </si>
  <si>
    <t>Emp Salary</t>
  </si>
  <si>
    <t>James Bond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</si>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</sst>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$-409]* #,##0.00_ ;_-[$$-409]* \-#,##0.00\ ;_-[$$-409]* &quot;-&quot;??_ ;_-@_ 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373380</xdr:colOff>
      <xdr:row>85</xdr:row>
      <xdr:rowOff>60960</xdr:rowOff>
    </xdr:from>
    <xdr:to>
      <xdr:col>16</xdr:col>
      <xdr:colOff>243840</xdr:colOff>
      <xdr:row>89</xdr:row>
      <xdr:rowOff>30480</xdr:rowOff>
    </xdr:to>
    <xdr:sp macro="" textlink="">
      <xdr:nvSpPr>
        <xdr:cNvPr id="2" name="Oval Callout 1"/>
        <xdr:cNvSpPr/>
      </xdr:nvSpPr>
      <xdr:spPr>
        <a:xfrm>
          <a:off x="12573000" y="15651480"/>
          <a:ext cx="1089660" cy="701040"/>
        </a:xfrm>
        <a:prstGeom prst="wedgeEllipseCallout">
          <a:avLst>
            <a:gd name="adj1" fmla="val 83729"/>
            <a:gd name="adj2" fmla="val 2072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By</a:t>
          </a:r>
          <a:r>
            <a:rPr lang="en-US" sz="1200" b="1" baseline="0"/>
            <a:t> Using IF Na</a:t>
          </a:r>
          <a:endParaRPr lang="en-US" sz="1200" b="1"/>
        </a:p>
      </xdr:txBody>
    </xdr:sp>
    <xdr:clientData/>
  </xdr:twoCellAnchor>
  <xdr:twoCellAnchor>
    <xdr:from>
      <xdr:col>24</xdr:col>
      <xdr:colOff>541020</xdr:colOff>
      <xdr:row>84</xdr:row>
      <xdr:rowOff>144780</xdr:rowOff>
    </xdr:from>
    <xdr:to>
      <xdr:col>26</xdr:col>
      <xdr:colOff>411480</xdr:colOff>
      <xdr:row>88</xdr:row>
      <xdr:rowOff>114300</xdr:rowOff>
    </xdr:to>
    <xdr:sp macro="" textlink="">
      <xdr:nvSpPr>
        <xdr:cNvPr id="3" name="Oval Callout 2"/>
        <xdr:cNvSpPr/>
      </xdr:nvSpPr>
      <xdr:spPr>
        <a:xfrm>
          <a:off x="20162520" y="15552420"/>
          <a:ext cx="1089660" cy="701040"/>
        </a:xfrm>
        <a:prstGeom prst="wedgeEllipseCallout">
          <a:avLst>
            <a:gd name="adj1" fmla="val -94593"/>
            <a:gd name="adj2" fmla="val 4029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By</a:t>
          </a:r>
          <a:r>
            <a:rPr lang="en-US" sz="1200" b="1" baseline="0"/>
            <a:t> Using IF Error</a:t>
          </a:r>
          <a:endParaRPr lang="en-US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5"/>
  <sheetViews>
    <sheetView tabSelected="1" workbookViewId="0">
      <selection activeCell="P108" sqref="P108"/>
    </sheetView>
  </sheetViews>
  <sheetFormatPr defaultRowHeight="14.4" x14ac:dyDescent="0.3"/>
  <cols>
    <col min="2" max="2" width="16.6640625" bestFit="1" customWidth="1"/>
    <col min="3" max="3" width="33" bestFit="1" customWidth="1"/>
    <col min="4" max="4" width="16" bestFit="1" customWidth="1"/>
    <col min="5" max="5" width="11.109375" bestFit="1" customWidth="1"/>
    <col min="6" max="6" width="10.21875" customWidth="1"/>
    <col min="7" max="7" width="12.21875" customWidth="1"/>
    <col min="8" max="8" width="11.5546875" customWidth="1"/>
    <col min="9" max="9" width="13.77734375" bestFit="1" customWidth="1"/>
    <col min="18" max="18" width="10" customWidth="1"/>
    <col min="19" max="19" width="13.44140625" customWidth="1"/>
    <col min="20" max="20" width="13.77734375" bestFit="1" customWidth="1"/>
    <col min="23" max="23" width="10.6640625" customWidth="1"/>
    <col min="24" max="24" width="15.8867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4" t="s">
        <v>75</v>
      </c>
      <c r="I1" s="4"/>
      <c r="J1" s="4"/>
      <c r="K1" s="4"/>
      <c r="L1" s="4"/>
    </row>
    <row r="2" spans="1:12" x14ac:dyDescent="0.3">
      <c r="A2">
        <v>101</v>
      </c>
      <c r="B2" t="s">
        <v>5</v>
      </c>
      <c r="C2" t="s">
        <v>6</v>
      </c>
      <c r="D2" t="s">
        <v>7</v>
      </c>
      <c r="E2" s="2">
        <v>4000</v>
      </c>
      <c r="H2" s="4"/>
      <c r="I2" s="4"/>
      <c r="J2" s="4"/>
      <c r="K2" s="4"/>
      <c r="L2" s="4"/>
    </row>
    <row r="3" spans="1:12" x14ac:dyDescent="0.3">
      <c r="A3">
        <v>102</v>
      </c>
      <c r="B3" t="s">
        <v>8</v>
      </c>
      <c r="C3" t="s">
        <v>9</v>
      </c>
      <c r="D3" t="s">
        <v>10</v>
      </c>
      <c r="E3" s="2">
        <v>5400</v>
      </c>
    </row>
    <row r="4" spans="1:12" x14ac:dyDescent="0.3">
      <c r="A4">
        <v>103</v>
      </c>
      <c r="B4" t="s">
        <v>11</v>
      </c>
      <c r="C4" t="s">
        <v>12</v>
      </c>
      <c r="D4" t="s">
        <v>10</v>
      </c>
      <c r="E4" s="2">
        <v>3000</v>
      </c>
      <c r="H4" s="3" t="s">
        <v>62</v>
      </c>
    </row>
    <row r="5" spans="1:12" x14ac:dyDescent="0.3">
      <c r="A5">
        <v>104</v>
      </c>
      <c r="B5" t="s">
        <v>13</v>
      </c>
      <c r="C5" t="s">
        <v>14</v>
      </c>
      <c r="D5" t="s">
        <v>15</v>
      </c>
      <c r="E5" s="2">
        <v>8000</v>
      </c>
      <c r="H5" s="3" t="s">
        <v>63</v>
      </c>
    </row>
    <row r="6" spans="1:12" x14ac:dyDescent="0.3">
      <c r="A6">
        <v>105</v>
      </c>
      <c r="B6" t="s">
        <v>16</v>
      </c>
      <c r="C6" t="s">
        <v>17</v>
      </c>
      <c r="D6" t="s">
        <v>18</v>
      </c>
      <c r="E6" s="2">
        <v>2000</v>
      </c>
      <c r="H6" s="3" t="s">
        <v>64</v>
      </c>
    </row>
    <row r="7" spans="1:12" x14ac:dyDescent="0.3">
      <c r="A7">
        <v>106</v>
      </c>
      <c r="B7" t="s">
        <v>19</v>
      </c>
      <c r="C7" t="s">
        <v>20</v>
      </c>
      <c r="D7" t="s">
        <v>21</v>
      </c>
      <c r="E7" s="2">
        <v>5000</v>
      </c>
      <c r="H7" s="3" t="s">
        <v>65</v>
      </c>
    </row>
    <row r="8" spans="1:12" x14ac:dyDescent="0.3">
      <c r="A8">
        <v>107</v>
      </c>
      <c r="B8" t="s">
        <v>22</v>
      </c>
      <c r="C8" t="s">
        <v>23</v>
      </c>
      <c r="D8" t="s">
        <v>24</v>
      </c>
      <c r="E8" s="2">
        <v>4200</v>
      </c>
      <c r="H8" s="3" t="s">
        <v>66</v>
      </c>
    </row>
    <row r="9" spans="1:12" x14ac:dyDescent="0.3">
      <c r="A9">
        <v>108</v>
      </c>
      <c r="B9" t="s">
        <v>25</v>
      </c>
      <c r="C9" t="s">
        <v>26</v>
      </c>
      <c r="D9" t="s">
        <v>27</v>
      </c>
      <c r="E9" s="2">
        <v>6000</v>
      </c>
      <c r="H9" s="3" t="s">
        <v>67</v>
      </c>
    </row>
    <row r="10" spans="1:12" x14ac:dyDescent="0.3">
      <c r="A10">
        <v>109</v>
      </c>
      <c r="B10" t="s">
        <v>28</v>
      </c>
      <c r="C10" t="s">
        <v>29</v>
      </c>
      <c r="D10" t="s">
        <v>30</v>
      </c>
      <c r="E10" s="2">
        <v>10000</v>
      </c>
      <c r="H10" s="3" t="s">
        <v>68</v>
      </c>
    </row>
    <row r="11" spans="1:12" x14ac:dyDescent="0.3">
      <c r="A11">
        <v>110</v>
      </c>
      <c r="B11" t="s">
        <v>31</v>
      </c>
      <c r="C11" t="s">
        <v>32</v>
      </c>
      <c r="D11" t="s">
        <v>33</v>
      </c>
      <c r="E11" s="2">
        <v>7000</v>
      </c>
      <c r="H11" s="3" t="s">
        <v>69</v>
      </c>
    </row>
    <row r="12" spans="1:12" x14ac:dyDescent="0.3">
      <c r="A12">
        <v>111</v>
      </c>
      <c r="B12" t="s">
        <v>34</v>
      </c>
      <c r="C12" t="s">
        <v>35</v>
      </c>
      <c r="D12" t="s">
        <v>36</v>
      </c>
      <c r="E12" s="2">
        <v>6700</v>
      </c>
      <c r="H12" s="3" t="s">
        <v>70</v>
      </c>
    </row>
    <row r="13" spans="1:12" x14ac:dyDescent="0.3">
      <c r="A13">
        <v>112</v>
      </c>
      <c r="B13" t="s">
        <v>37</v>
      </c>
      <c r="C13" t="s">
        <v>38</v>
      </c>
      <c r="D13" t="s">
        <v>39</v>
      </c>
      <c r="E13" s="2">
        <v>12000</v>
      </c>
      <c r="H13" s="3" t="s">
        <v>71</v>
      </c>
    </row>
    <row r="14" spans="1:12" x14ac:dyDescent="0.3">
      <c r="A14">
        <v>113</v>
      </c>
      <c r="B14" t="s">
        <v>40</v>
      </c>
      <c r="C14" t="s">
        <v>41</v>
      </c>
      <c r="D14" t="s">
        <v>42</v>
      </c>
      <c r="E14" s="2">
        <v>2300</v>
      </c>
      <c r="H14" s="3" t="s">
        <v>72</v>
      </c>
    </row>
    <row r="15" spans="1:12" x14ac:dyDescent="0.3">
      <c r="A15">
        <v>114</v>
      </c>
      <c r="B15" t="s">
        <v>43</v>
      </c>
      <c r="C15" t="s">
        <v>44</v>
      </c>
      <c r="D15" t="s">
        <v>45</v>
      </c>
      <c r="E15" s="2">
        <v>5600</v>
      </c>
      <c r="H15" s="3" t="s">
        <v>73</v>
      </c>
    </row>
    <row r="16" spans="1:12" x14ac:dyDescent="0.3">
      <c r="A16">
        <v>115</v>
      </c>
      <c r="B16" t="s">
        <v>46</v>
      </c>
      <c r="C16" t="s">
        <v>47</v>
      </c>
      <c r="D16" t="s">
        <v>48</v>
      </c>
      <c r="E16" s="2">
        <v>4200</v>
      </c>
      <c r="H16" s="3" t="s">
        <v>74</v>
      </c>
    </row>
    <row r="17" spans="1:22" x14ac:dyDescent="0.3">
      <c r="A17">
        <v>116</v>
      </c>
      <c r="B17" t="s">
        <v>49</v>
      </c>
      <c r="C17" t="s">
        <v>50</v>
      </c>
      <c r="D17" t="s">
        <v>24</v>
      </c>
      <c r="E17" s="2">
        <v>3200</v>
      </c>
    </row>
    <row r="18" spans="1:22" ht="14.4" customHeight="1" x14ac:dyDescent="0.3">
      <c r="A18">
        <v>117</v>
      </c>
      <c r="B18" t="s">
        <v>51</v>
      </c>
      <c r="C18" t="s">
        <v>52</v>
      </c>
      <c r="D18" t="s">
        <v>53</v>
      </c>
      <c r="E18" s="2">
        <v>9000</v>
      </c>
      <c r="I18" s="7" t="s">
        <v>76</v>
      </c>
      <c r="J18" s="7"/>
      <c r="S18" s="7" t="s">
        <v>77</v>
      </c>
      <c r="T18" s="7"/>
      <c r="U18" s="7"/>
    </row>
    <row r="19" spans="1:22" ht="14.4" customHeight="1" x14ac:dyDescent="0.3">
      <c r="A19">
        <v>118</v>
      </c>
      <c r="B19" t="s">
        <v>54</v>
      </c>
      <c r="C19" t="s">
        <v>55</v>
      </c>
      <c r="D19" t="s">
        <v>56</v>
      </c>
      <c r="E19" s="2">
        <v>5300</v>
      </c>
      <c r="I19" s="7"/>
      <c r="J19" s="7"/>
      <c r="S19" s="7"/>
      <c r="T19" s="7"/>
      <c r="U19" s="7"/>
    </row>
    <row r="20" spans="1:22" x14ac:dyDescent="0.3">
      <c r="A20">
        <v>119</v>
      </c>
      <c r="B20" t="s">
        <v>57</v>
      </c>
      <c r="C20" t="s">
        <v>58</v>
      </c>
      <c r="D20" t="s">
        <v>59</v>
      </c>
      <c r="E20" s="2">
        <v>6400</v>
      </c>
    </row>
    <row r="21" spans="1:22" x14ac:dyDescent="0.3">
      <c r="A21">
        <v>120</v>
      </c>
      <c r="B21" t="s">
        <v>60</v>
      </c>
      <c r="C21" t="s">
        <v>61</v>
      </c>
      <c r="D21" t="s">
        <v>15</v>
      </c>
      <c r="E21" s="2">
        <v>8000</v>
      </c>
      <c r="H21" s="6" t="s">
        <v>62</v>
      </c>
      <c r="I21" s="6"/>
      <c r="J21" s="6"/>
      <c r="K21" s="6"/>
      <c r="L21" s="6"/>
      <c r="R21" s="6" t="s">
        <v>62</v>
      </c>
      <c r="S21" s="6"/>
      <c r="T21" s="6"/>
      <c r="U21" s="6"/>
      <c r="V21" s="6"/>
    </row>
    <row r="23" spans="1:22" x14ac:dyDescent="0.3">
      <c r="H23" s="1" t="s">
        <v>0</v>
      </c>
      <c r="I23">
        <v>107</v>
      </c>
      <c r="S23" s="1" t="s">
        <v>0</v>
      </c>
      <c r="T23">
        <v>107</v>
      </c>
    </row>
    <row r="24" spans="1:22" x14ac:dyDescent="0.3">
      <c r="H24" s="1" t="s">
        <v>1</v>
      </c>
      <c r="I24" s="5" t="str">
        <f>VLOOKUP(I23,A1:E21,2,FALSE)</f>
        <v>Penelope Burge</v>
      </c>
      <c r="S24" s="1" t="s">
        <v>1</v>
      </c>
      <c r="T24" s="5" t="str">
        <f>INDEX(B2:B21,MATCH(T23,A2:A21,0))</f>
        <v>Penelope Burge</v>
      </c>
    </row>
    <row r="28" spans="1:22" x14ac:dyDescent="0.3">
      <c r="H28" s="6" t="s">
        <v>63</v>
      </c>
      <c r="I28" s="6"/>
      <c r="J28" s="6"/>
      <c r="K28" s="6"/>
      <c r="L28" s="6"/>
      <c r="R28" s="6" t="s">
        <v>63</v>
      </c>
      <c r="S28" s="6"/>
      <c r="T28" s="6"/>
      <c r="U28" s="6"/>
      <c r="V28" s="6"/>
    </row>
    <row r="30" spans="1:22" x14ac:dyDescent="0.3">
      <c r="H30" s="1" t="s">
        <v>1</v>
      </c>
      <c r="I30" t="s">
        <v>25</v>
      </c>
      <c r="S30" s="1" t="s">
        <v>1</v>
      </c>
      <c r="T30" t="s">
        <v>25</v>
      </c>
    </row>
    <row r="31" spans="1:22" x14ac:dyDescent="0.3">
      <c r="H31" s="1" t="s">
        <v>3</v>
      </c>
      <c r="I31" s="5" t="str">
        <f>VLOOKUP(I30,B1:E21,3,FALSE)</f>
        <v>Stock broker</v>
      </c>
      <c r="S31" s="1" t="s">
        <v>3</v>
      </c>
      <c r="T31" s="5" t="str">
        <f>INDEX(D2:D21,MATCH(T30,B2:B21,0))</f>
        <v>Stock broker</v>
      </c>
    </row>
    <row r="34" spans="1:22" x14ac:dyDescent="0.3">
      <c r="A34" s="1" t="s">
        <v>0</v>
      </c>
      <c r="B34">
        <v>101</v>
      </c>
      <c r="C34">
        <v>102</v>
      </c>
      <c r="D34">
        <v>103</v>
      </c>
      <c r="E34">
        <v>104</v>
      </c>
      <c r="F34">
        <v>105</v>
      </c>
      <c r="G34">
        <v>106</v>
      </c>
      <c r="H34">
        <v>107</v>
      </c>
      <c r="I34">
        <v>108</v>
      </c>
      <c r="J34">
        <v>109</v>
      </c>
      <c r="K34">
        <v>110</v>
      </c>
      <c r="L34">
        <v>111</v>
      </c>
      <c r="M34">
        <v>112</v>
      </c>
      <c r="N34">
        <v>113</v>
      </c>
      <c r="O34">
        <v>114</v>
      </c>
      <c r="P34">
        <v>115</v>
      </c>
      <c r="Q34">
        <v>116</v>
      </c>
      <c r="R34">
        <v>117</v>
      </c>
      <c r="S34">
        <v>118</v>
      </c>
      <c r="T34">
        <v>119</v>
      </c>
      <c r="U34">
        <v>120</v>
      </c>
    </row>
    <row r="35" spans="1:22" x14ac:dyDescent="0.3">
      <c r="A35" s="1" t="s">
        <v>1</v>
      </c>
      <c r="B35" t="s">
        <v>5</v>
      </c>
      <c r="C35" t="s">
        <v>8</v>
      </c>
      <c r="D35" t="s">
        <v>11</v>
      </c>
      <c r="E35" t="s">
        <v>13</v>
      </c>
      <c r="F35" t="s">
        <v>16</v>
      </c>
      <c r="G35" t="s">
        <v>19</v>
      </c>
      <c r="H35" t="s">
        <v>22</v>
      </c>
      <c r="I35" t="s">
        <v>25</v>
      </c>
      <c r="J35" t="s">
        <v>28</v>
      </c>
      <c r="K35" t="s">
        <v>31</v>
      </c>
      <c r="L35" t="s">
        <v>34</v>
      </c>
      <c r="M35" t="s">
        <v>37</v>
      </c>
      <c r="N35" t="s">
        <v>40</v>
      </c>
      <c r="O35" t="s">
        <v>43</v>
      </c>
      <c r="P35" t="s">
        <v>46</v>
      </c>
      <c r="Q35" t="s">
        <v>49</v>
      </c>
      <c r="R35" t="s">
        <v>51</v>
      </c>
      <c r="S35" t="s">
        <v>54</v>
      </c>
      <c r="T35" t="s">
        <v>57</v>
      </c>
      <c r="U35" t="s">
        <v>60</v>
      </c>
    </row>
    <row r="36" spans="1:22" x14ac:dyDescent="0.3">
      <c r="A36" s="1" t="s">
        <v>2</v>
      </c>
      <c r="B36" t="s">
        <v>6</v>
      </c>
      <c r="C36" t="s">
        <v>9</v>
      </c>
      <c r="D36" t="s">
        <v>12</v>
      </c>
      <c r="E36" t="s">
        <v>14</v>
      </c>
      <c r="F36" t="s">
        <v>17</v>
      </c>
      <c r="G36" t="s">
        <v>20</v>
      </c>
      <c r="H36" t="s">
        <v>23</v>
      </c>
      <c r="I36" t="s">
        <v>26</v>
      </c>
      <c r="J36" t="s">
        <v>29</v>
      </c>
      <c r="K36" t="s">
        <v>32</v>
      </c>
      <c r="L36" t="s">
        <v>35</v>
      </c>
      <c r="M36" t="s">
        <v>38</v>
      </c>
      <c r="N36" t="s">
        <v>41</v>
      </c>
      <c r="O36" t="s">
        <v>44</v>
      </c>
      <c r="P36" t="s">
        <v>47</v>
      </c>
      <c r="Q36" t="s">
        <v>50</v>
      </c>
      <c r="R36" t="s">
        <v>52</v>
      </c>
      <c r="S36" t="s">
        <v>55</v>
      </c>
      <c r="T36" t="s">
        <v>58</v>
      </c>
      <c r="U36" t="s">
        <v>61</v>
      </c>
    </row>
    <row r="37" spans="1:22" x14ac:dyDescent="0.3">
      <c r="A37" s="1" t="s">
        <v>3</v>
      </c>
      <c r="B37" t="s">
        <v>7</v>
      </c>
      <c r="C37" t="s">
        <v>10</v>
      </c>
      <c r="D37" t="s">
        <v>10</v>
      </c>
      <c r="E37" t="s">
        <v>15</v>
      </c>
      <c r="F37" t="s">
        <v>18</v>
      </c>
      <c r="G37" t="s">
        <v>21</v>
      </c>
      <c r="H37" t="s">
        <v>24</v>
      </c>
      <c r="I37" t="s">
        <v>27</v>
      </c>
      <c r="J37" t="s">
        <v>30</v>
      </c>
      <c r="K37" t="s">
        <v>33</v>
      </c>
      <c r="L37" t="s">
        <v>36</v>
      </c>
      <c r="M37" t="s">
        <v>39</v>
      </c>
      <c r="N37" t="s">
        <v>42</v>
      </c>
      <c r="O37" t="s">
        <v>45</v>
      </c>
      <c r="P37" t="s">
        <v>48</v>
      </c>
      <c r="Q37" t="s">
        <v>24</v>
      </c>
      <c r="R37" t="s">
        <v>53</v>
      </c>
      <c r="S37" t="s">
        <v>56</v>
      </c>
      <c r="T37" t="s">
        <v>59</v>
      </c>
      <c r="U37" t="s">
        <v>15</v>
      </c>
    </row>
    <row r="38" spans="1:22" ht="18" customHeight="1" x14ac:dyDescent="0.3">
      <c r="A38" s="1" t="s">
        <v>4</v>
      </c>
      <c r="B38" s="2">
        <v>4000</v>
      </c>
      <c r="C38" s="2">
        <v>5400</v>
      </c>
      <c r="D38" s="2">
        <v>3000</v>
      </c>
      <c r="E38" s="2">
        <v>8000</v>
      </c>
      <c r="F38" s="2">
        <v>2000</v>
      </c>
      <c r="G38" s="2">
        <v>5000</v>
      </c>
      <c r="H38" s="2">
        <v>4200</v>
      </c>
      <c r="I38" s="2">
        <v>6000</v>
      </c>
      <c r="J38" s="2">
        <v>10000</v>
      </c>
      <c r="K38" s="2">
        <v>7000</v>
      </c>
      <c r="L38" s="2">
        <v>6700</v>
      </c>
      <c r="M38" s="2">
        <v>12000</v>
      </c>
      <c r="N38" s="2">
        <v>2300</v>
      </c>
      <c r="O38" s="2">
        <v>5600</v>
      </c>
      <c r="P38" s="2">
        <v>4200</v>
      </c>
      <c r="Q38" s="2">
        <v>3200</v>
      </c>
      <c r="R38" s="2">
        <v>9000</v>
      </c>
      <c r="S38" s="2">
        <v>5300</v>
      </c>
      <c r="T38" s="2">
        <v>6400</v>
      </c>
      <c r="U38" s="2">
        <v>8000</v>
      </c>
    </row>
    <row r="41" spans="1:22" x14ac:dyDescent="0.3">
      <c r="H41" s="8" t="s">
        <v>78</v>
      </c>
      <c r="I41" s="8"/>
      <c r="J41" s="8"/>
      <c r="K41" s="8"/>
    </row>
    <row r="42" spans="1:22" x14ac:dyDescent="0.3">
      <c r="H42" s="8"/>
      <c r="I42" s="8"/>
      <c r="J42" s="8"/>
      <c r="K42" s="8"/>
    </row>
    <row r="44" spans="1:22" x14ac:dyDescent="0.3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H44" s="6" t="s">
        <v>64</v>
      </c>
      <c r="I44" s="6"/>
      <c r="J44" s="6"/>
      <c r="K44" s="6"/>
      <c r="L44" s="6"/>
      <c r="R44" s="6" t="s">
        <v>64</v>
      </c>
      <c r="S44" s="6"/>
      <c r="T44" s="6"/>
      <c r="U44" s="6"/>
      <c r="V44" s="6"/>
    </row>
    <row r="45" spans="1:22" x14ac:dyDescent="0.3">
      <c r="A45">
        <v>105</v>
      </c>
      <c r="B45" t="s">
        <v>16</v>
      </c>
      <c r="C45" t="s">
        <v>17</v>
      </c>
      <c r="D45" t="s">
        <v>18</v>
      </c>
      <c r="E45" s="2">
        <v>2000</v>
      </c>
    </row>
    <row r="46" spans="1:22" x14ac:dyDescent="0.3">
      <c r="A46">
        <v>113</v>
      </c>
      <c r="B46" t="s">
        <v>40</v>
      </c>
      <c r="C46" t="s">
        <v>41</v>
      </c>
      <c r="D46" t="s">
        <v>42</v>
      </c>
      <c r="E46" s="2">
        <v>2300</v>
      </c>
      <c r="H46" s="1" t="s">
        <v>1</v>
      </c>
      <c r="I46" t="s">
        <v>11</v>
      </c>
      <c r="R46" s="1" t="s">
        <v>1</v>
      </c>
      <c r="S46" t="s">
        <v>11</v>
      </c>
    </row>
    <row r="47" spans="1:22" x14ac:dyDescent="0.3">
      <c r="A47">
        <v>103</v>
      </c>
      <c r="B47" t="s">
        <v>11</v>
      </c>
      <c r="C47" t="s">
        <v>12</v>
      </c>
      <c r="D47" t="s">
        <v>10</v>
      </c>
      <c r="E47" s="2">
        <v>3000</v>
      </c>
      <c r="H47" s="1" t="s">
        <v>4</v>
      </c>
      <c r="I47" s="5">
        <f>HLOOKUP(I46,A35:U38,4,FALSE)</f>
        <v>3000</v>
      </c>
      <c r="R47" s="1" t="s">
        <v>4</v>
      </c>
      <c r="S47" s="5">
        <f>INDEX(B38:U38,,MATCH(S46,B35:U35,0))</f>
        <v>3000</v>
      </c>
    </row>
    <row r="48" spans="1:22" x14ac:dyDescent="0.3">
      <c r="A48">
        <v>111</v>
      </c>
      <c r="B48" t="s">
        <v>34</v>
      </c>
      <c r="C48" t="s">
        <v>35</v>
      </c>
      <c r="D48" t="s">
        <v>36</v>
      </c>
      <c r="E48" s="2">
        <v>6700</v>
      </c>
    </row>
    <row r="49" spans="1:22" x14ac:dyDescent="0.3">
      <c r="A49">
        <v>108</v>
      </c>
      <c r="B49" t="s">
        <v>25</v>
      </c>
      <c r="C49" t="s">
        <v>26</v>
      </c>
      <c r="D49" t="s">
        <v>27</v>
      </c>
      <c r="E49" s="2">
        <v>6000</v>
      </c>
    </row>
    <row r="50" spans="1:22" x14ac:dyDescent="0.3">
      <c r="A50">
        <v>102</v>
      </c>
      <c r="B50" t="s">
        <v>8</v>
      </c>
      <c r="C50" t="s">
        <v>9</v>
      </c>
      <c r="D50" t="s">
        <v>10</v>
      </c>
      <c r="E50" s="2">
        <v>5400</v>
      </c>
      <c r="H50" s="6" t="s">
        <v>65</v>
      </c>
      <c r="I50" s="6"/>
      <c r="J50" s="6"/>
      <c r="K50" s="6"/>
      <c r="L50" s="6"/>
      <c r="R50" s="6" t="s">
        <v>65</v>
      </c>
      <c r="S50" s="6"/>
      <c r="T50" s="6"/>
      <c r="U50" s="6"/>
      <c r="V50" s="6"/>
    </row>
    <row r="51" spans="1:22" x14ac:dyDescent="0.3">
      <c r="A51">
        <v>120</v>
      </c>
      <c r="B51" t="s">
        <v>60</v>
      </c>
      <c r="C51" t="s">
        <v>61</v>
      </c>
      <c r="D51" t="s">
        <v>15</v>
      </c>
      <c r="E51" s="2">
        <v>8000</v>
      </c>
    </row>
    <row r="52" spans="1:22" x14ac:dyDescent="0.3">
      <c r="A52">
        <v>109</v>
      </c>
      <c r="B52" t="s">
        <v>28</v>
      </c>
      <c r="C52" t="s">
        <v>29</v>
      </c>
      <c r="D52" t="s">
        <v>30</v>
      </c>
      <c r="E52" s="2">
        <v>10000</v>
      </c>
      <c r="H52" s="1" t="s">
        <v>79</v>
      </c>
      <c r="I52">
        <v>105</v>
      </c>
      <c r="R52" s="1" t="s">
        <v>79</v>
      </c>
      <c r="S52">
        <v>105</v>
      </c>
    </row>
    <row r="53" spans="1:22" x14ac:dyDescent="0.3">
      <c r="A53">
        <v>110</v>
      </c>
      <c r="B53" t="s">
        <v>31</v>
      </c>
      <c r="C53" t="s">
        <v>32</v>
      </c>
      <c r="D53" t="s">
        <v>33</v>
      </c>
      <c r="E53" s="2">
        <v>7000</v>
      </c>
      <c r="H53" s="1" t="s">
        <v>3</v>
      </c>
      <c r="I53" s="5" t="str">
        <f>HLOOKUP(I52,A34:U38,4,FALSE)</f>
        <v>Fabricator</v>
      </c>
      <c r="R53" s="1" t="s">
        <v>3</v>
      </c>
      <c r="S53" s="5" t="str">
        <f>INDEX(B37:U37,,MATCH(S52,B34:U34,0))</f>
        <v>Fabricator</v>
      </c>
    </row>
    <row r="54" spans="1:22" x14ac:dyDescent="0.3">
      <c r="A54">
        <v>118</v>
      </c>
      <c r="B54" t="s">
        <v>54</v>
      </c>
      <c r="C54" t="s">
        <v>55</v>
      </c>
      <c r="D54" t="s">
        <v>56</v>
      </c>
      <c r="E54" s="2">
        <v>5300</v>
      </c>
    </row>
    <row r="55" spans="1:22" x14ac:dyDescent="0.3">
      <c r="A55">
        <v>106</v>
      </c>
      <c r="B55" t="s">
        <v>19</v>
      </c>
      <c r="C55" t="s">
        <v>20</v>
      </c>
      <c r="D55" t="s">
        <v>21</v>
      </c>
      <c r="E55" s="2">
        <v>5000</v>
      </c>
    </row>
    <row r="56" spans="1:22" x14ac:dyDescent="0.3">
      <c r="A56">
        <v>119</v>
      </c>
      <c r="B56" t="s">
        <v>57</v>
      </c>
      <c r="C56" t="s">
        <v>58</v>
      </c>
      <c r="D56" t="s">
        <v>59</v>
      </c>
      <c r="E56" s="2">
        <v>6400</v>
      </c>
      <c r="H56" s="6" t="s">
        <v>66</v>
      </c>
      <c r="I56" s="6"/>
      <c r="J56" s="6"/>
      <c r="K56" s="6"/>
      <c r="L56" s="6"/>
      <c r="R56" s="6" t="s">
        <v>66</v>
      </c>
      <c r="S56" s="6"/>
      <c r="T56" s="6"/>
      <c r="U56" s="6"/>
      <c r="V56" s="6"/>
    </row>
    <row r="57" spans="1:22" x14ac:dyDescent="0.3">
      <c r="A57">
        <v>117</v>
      </c>
      <c r="B57" t="s">
        <v>51</v>
      </c>
      <c r="C57" t="s">
        <v>52</v>
      </c>
      <c r="D57" t="s">
        <v>53</v>
      </c>
      <c r="E57" s="2">
        <v>9000</v>
      </c>
    </row>
    <row r="58" spans="1:22" x14ac:dyDescent="0.3">
      <c r="A58">
        <v>104</v>
      </c>
      <c r="B58" t="s">
        <v>13</v>
      </c>
      <c r="C58" t="s">
        <v>14</v>
      </c>
      <c r="D58" t="s">
        <v>15</v>
      </c>
      <c r="E58" s="2">
        <v>8000</v>
      </c>
      <c r="H58" s="1" t="s">
        <v>1</v>
      </c>
      <c r="I58" t="s">
        <v>8</v>
      </c>
      <c r="R58" s="1" t="s">
        <v>1</v>
      </c>
      <c r="S58" t="s">
        <v>8</v>
      </c>
    </row>
    <row r="59" spans="1:22" x14ac:dyDescent="0.3">
      <c r="A59">
        <v>107</v>
      </c>
      <c r="B59" t="s">
        <v>22</v>
      </c>
      <c r="C59" t="s">
        <v>23</v>
      </c>
      <c r="D59" t="s">
        <v>24</v>
      </c>
      <c r="E59" s="2">
        <v>4200</v>
      </c>
      <c r="H59" s="1" t="s">
        <v>4</v>
      </c>
      <c r="I59" s="5">
        <f>HLOOKUP(I58,A35:U38,4,FALSE)</f>
        <v>5400</v>
      </c>
      <c r="R59" s="1" t="s">
        <v>4</v>
      </c>
      <c r="S59" s="5">
        <f>INDEX(B38:U38,,MATCH(S58,B35:U35,0))</f>
        <v>5400</v>
      </c>
    </row>
    <row r="60" spans="1:22" x14ac:dyDescent="0.3">
      <c r="A60">
        <v>115</v>
      </c>
      <c r="B60" t="s">
        <v>46</v>
      </c>
      <c r="C60" t="s">
        <v>47</v>
      </c>
      <c r="D60" t="s">
        <v>48</v>
      </c>
      <c r="E60" s="2">
        <v>4200</v>
      </c>
    </row>
    <row r="61" spans="1:22" x14ac:dyDescent="0.3">
      <c r="A61">
        <v>114</v>
      </c>
      <c r="B61" t="s">
        <v>43</v>
      </c>
      <c r="C61" t="s">
        <v>44</v>
      </c>
      <c r="D61" t="s">
        <v>45</v>
      </c>
      <c r="E61" s="2">
        <v>5600</v>
      </c>
      <c r="H61" s="8" t="s">
        <v>76</v>
      </c>
      <c r="I61" s="8"/>
      <c r="J61" s="8"/>
      <c r="K61" s="8"/>
    </row>
    <row r="62" spans="1:22" x14ac:dyDescent="0.3">
      <c r="A62">
        <v>101</v>
      </c>
      <c r="B62" t="s">
        <v>5</v>
      </c>
      <c r="C62" t="s">
        <v>6</v>
      </c>
      <c r="D62" t="s">
        <v>7</v>
      </c>
      <c r="E62" s="2">
        <v>4000</v>
      </c>
      <c r="H62" s="8"/>
      <c r="I62" s="8"/>
      <c r="J62" s="8"/>
      <c r="K62" s="8"/>
    </row>
    <row r="63" spans="1:22" x14ac:dyDescent="0.3">
      <c r="A63">
        <v>116</v>
      </c>
      <c r="B63" t="s">
        <v>49</v>
      </c>
      <c r="C63" t="s">
        <v>50</v>
      </c>
      <c r="D63" t="s">
        <v>24</v>
      </c>
      <c r="E63" s="2">
        <v>3200</v>
      </c>
    </row>
    <row r="64" spans="1:22" x14ac:dyDescent="0.3">
      <c r="A64">
        <v>112</v>
      </c>
      <c r="B64" t="s">
        <v>37</v>
      </c>
      <c r="C64" t="s">
        <v>38</v>
      </c>
      <c r="D64" t="s">
        <v>39</v>
      </c>
      <c r="E64" s="2">
        <v>12000</v>
      </c>
      <c r="H64" s="6" t="s">
        <v>67</v>
      </c>
      <c r="I64" s="6"/>
      <c r="J64" s="6"/>
      <c r="K64" s="6"/>
      <c r="L64" s="6"/>
      <c r="R64" s="6" t="s">
        <v>67</v>
      </c>
      <c r="S64" s="6"/>
      <c r="T64" s="6"/>
      <c r="U64" s="6"/>
      <c r="V64" s="6"/>
    </row>
    <row r="66" spans="8:24" x14ac:dyDescent="0.3">
      <c r="H66" s="1" t="s">
        <v>80</v>
      </c>
      <c r="I66" t="s">
        <v>14</v>
      </c>
      <c r="R66" s="1" t="s">
        <v>80</v>
      </c>
      <c r="S66" t="s">
        <v>14</v>
      </c>
    </row>
    <row r="67" spans="8:24" x14ac:dyDescent="0.3">
      <c r="H67" s="1" t="s">
        <v>0</v>
      </c>
      <c r="I67" s="5">
        <f>LOOKUP(I66,C45:C64,A45:A64)</f>
        <v>104</v>
      </c>
      <c r="R67" s="1" t="s">
        <v>0</v>
      </c>
      <c r="S67" s="5">
        <f>INDEX(A45:A64,MATCH(S66,C45:C64,0))</f>
        <v>104</v>
      </c>
    </row>
    <row r="70" spans="8:24" x14ac:dyDescent="0.3">
      <c r="R70" s="6" t="s">
        <v>68</v>
      </c>
      <c r="S70" s="6"/>
      <c r="T70" s="6"/>
      <c r="U70" s="6"/>
      <c r="V70" s="6"/>
    </row>
    <row r="72" spans="8:24" x14ac:dyDescent="0.3">
      <c r="R72" s="1" t="s">
        <v>1</v>
      </c>
      <c r="S72" t="s">
        <v>28</v>
      </c>
    </row>
    <row r="73" spans="8:24" x14ac:dyDescent="0.3">
      <c r="R73" s="1" t="s">
        <v>81</v>
      </c>
      <c r="S73" s="5" t="str">
        <f>INDEX(D45:D64,MATCH(S72,B45:B64,0))</f>
        <v>Designer</v>
      </c>
    </row>
    <row r="75" spans="8:24" x14ac:dyDescent="0.3">
      <c r="R75" s="6" t="s">
        <v>69</v>
      </c>
      <c r="S75" s="6"/>
      <c r="T75" s="6"/>
      <c r="U75" s="6"/>
      <c r="V75" s="6"/>
      <c r="W75" s="6"/>
      <c r="X75" s="6"/>
    </row>
    <row r="77" spans="8:24" x14ac:dyDescent="0.3">
      <c r="R77" s="1" t="s">
        <v>80</v>
      </c>
      <c r="S77" t="s">
        <v>44</v>
      </c>
    </row>
    <row r="78" spans="8:24" x14ac:dyDescent="0.3">
      <c r="R78" s="1" t="s">
        <v>0</v>
      </c>
      <c r="S78" s="5">
        <f>INDEX(A45:A64,MATCH(S77,C45:C64,0))</f>
        <v>114</v>
      </c>
    </row>
    <row r="80" spans="8:24" x14ac:dyDescent="0.3">
      <c r="R80" s="6" t="s">
        <v>70</v>
      </c>
      <c r="S80" s="6"/>
      <c r="T80" s="6"/>
      <c r="U80" s="6"/>
      <c r="V80" s="6"/>
    </row>
    <row r="82" spans="18:24" x14ac:dyDescent="0.3">
      <c r="R82" s="1" t="s">
        <v>1</v>
      </c>
      <c r="S82" t="s">
        <v>34</v>
      </c>
      <c r="U82" s="9" t="s">
        <v>82</v>
      </c>
      <c r="W82" s="1" t="s">
        <v>1</v>
      </c>
      <c r="X82" t="s">
        <v>34</v>
      </c>
    </row>
    <row r="83" spans="18:24" x14ac:dyDescent="0.3">
      <c r="R83" s="1" t="s">
        <v>3</v>
      </c>
      <c r="S83" s="5" t="str">
        <f>INDEX(D45:D64,MATCH(S82,B45:B64,0))</f>
        <v>HR Coordinator</v>
      </c>
      <c r="U83" s="9"/>
      <c r="W83" s="1" t="s">
        <v>3</v>
      </c>
      <c r="X83" s="5" t="str">
        <f>INDEX(A45:E64,MATCH(X82,B45:B64,0),MATCH(W83,A44:E44,0))</f>
        <v>HR Coordinator</v>
      </c>
    </row>
    <row r="84" spans="18:24" x14ac:dyDescent="0.3">
      <c r="R84" s="1" t="s">
        <v>4</v>
      </c>
      <c r="S84" s="5">
        <f>INDEX(E45:E64,MATCH(S82,B45:B64,0))</f>
        <v>6700</v>
      </c>
      <c r="U84" s="9"/>
    </row>
    <row r="86" spans="18:24" x14ac:dyDescent="0.3">
      <c r="R86" s="6" t="s">
        <v>71</v>
      </c>
      <c r="S86" s="6"/>
      <c r="T86" s="6"/>
      <c r="U86" s="6"/>
      <c r="V86" s="6"/>
    </row>
    <row r="88" spans="18:24" ht="14.4" customHeight="1" x14ac:dyDescent="0.3">
      <c r="R88" s="1" t="s">
        <v>0</v>
      </c>
      <c r="S88">
        <v>121</v>
      </c>
      <c r="U88" s="9" t="s">
        <v>82</v>
      </c>
      <c r="W88" s="1" t="s">
        <v>0</v>
      </c>
      <c r="X88">
        <v>121</v>
      </c>
    </row>
    <row r="89" spans="18:24" ht="14.4" customHeight="1" x14ac:dyDescent="0.3">
      <c r="R89" s="1" t="s">
        <v>1</v>
      </c>
      <c r="S89" s="5" t="str">
        <f>_xlfn.IFNA(INDEX(B45:B64,MATCH(S88,A45:A64,0)),"Not Found")</f>
        <v>Not Found</v>
      </c>
      <c r="U89" s="9"/>
      <c r="W89" s="1" t="s">
        <v>1</v>
      </c>
      <c r="X89" s="5" t="str">
        <f>IFERROR(INDEX(G45:G64,MATCH(X88,F45:F64,0)),"Not Found")</f>
        <v>Not Found</v>
      </c>
    </row>
    <row r="90" spans="18:24" ht="14.4" customHeight="1" x14ac:dyDescent="0.3"/>
    <row r="92" spans="18:24" x14ac:dyDescent="0.3">
      <c r="R92" s="6" t="s">
        <v>72</v>
      </c>
      <c r="S92" s="6"/>
      <c r="T92" s="6"/>
      <c r="U92" s="6"/>
      <c r="V92" s="6"/>
    </row>
    <row r="94" spans="18:24" x14ac:dyDescent="0.3">
      <c r="R94" s="1" t="s">
        <v>1</v>
      </c>
      <c r="S94" t="s">
        <v>43</v>
      </c>
    </row>
    <row r="95" spans="18:24" x14ac:dyDescent="0.3">
      <c r="R95" s="1" t="s">
        <v>83</v>
      </c>
      <c r="S95" s="5">
        <f>INDEX(E45:E64,MATCH(S94,B45:B64,0))</f>
        <v>5600</v>
      </c>
    </row>
    <row r="97" spans="18:24" x14ac:dyDescent="0.3">
      <c r="R97" s="6" t="s">
        <v>73</v>
      </c>
      <c r="S97" s="6"/>
      <c r="T97" s="6"/>
      <c r="U97" s="6"/>
      <c r="V97" s="6"/>
    </row>
    <row r="99" spans="18:24" x14ac:dyDescent="0.3">
      <c r="R99" s="1" t="s">
        <v>4</v>
      </c>
      <c r="S99">
        <v>10000</v>
      </c>
    </row>
    <row r="100" spans="18:24" x14ac:dyDescent="0.3">
      <c r="R100" s="1" t="s">
        <v>0</v>
      </c>
      <c r="S100" s="5">
        <f>INDEX(A45:A64,MATCH(S99,E45:E64,0))</f>
        <v>109</v>
      </c>
    </row>
    <row r="102" spans="18:24" x14ac:dyDescent="0.3">
      <c r="R102" s="6" t="s">
        <v>74</v>
      </c>
      <c r="S102" s="6"/>
      <c r="T102" s="6"/>
      <c r="U102" s="6"/>
      <c r="V102" s="6"/>
      <c r="W102" s="6"/>
      <c r="X102" s="6"/>
    </row>
    <row r="104" spans="18:24" x14ac:dyDescent="0.3">
      <c r="R104" t="s">
        <v>1</v>
      </c>
      <c r="S104" t="s">
        <v>84</v>
      </c>
    </row>
    <row r="105" spans="18:24" x14ac:dyDescent="0.3">
      <c r="R105" t="s">
        <v>85</v>
      </c>
      <c r="S105" t="str">
        <f>_xlfn.IFNA(INDEX(B45:B64,MATCH(S104,B45:B64,0)), "Not Found")</f>
        <v>Not Found</v>
      </c>
    </row>
  </sheetData>
  <autoFilter ref="A44:E64">
    <sortState ref="A45:E64">
      <sortCondition ref="C44:C64"/>
    </sortState>
  </autoFilter>
  <mergeCells count="26">
    <mergeCell ref="U88:U89"/>
    <mergeCell ref="R92:V92"/>
    <mergeCell ref="R97:V97"/>
    <mergeCell ref="R102:X102"/>
    <mergeCell ref="R75:X75"/>
    <mergeCell ref="R80:V80"/>
    <mergeCell ref="U82:U84"/>
    <mergeCell ref="R86:V86"/>
    <mergeCell ref="H61:K62"/>
    <mergeCell ref="H64:L64"/>
    <mergeCell ref="R64:V64"/>
    <mergeCell ref="R70:V70"/>
    <mergeCell ref="R44:V44"/>
    <mergeCell ref="H44:L44"/>
    <mergeCell ref="H41:K42"/>
    <mergeCell ref="H50:L50"/>
    <mergeCell ref="R50:V50"/>
    <mergeCell ref="H56:L56"/>
    <mergeCell ref="R56:V56"/>
    <mergeCell ref="S18:U19"/>
    <mergeCell ref="R21:V21"/>
    <mergeCell ref="H28:L28"/>
    <mergeCell ref="R28:V28"/>
    <mergeCell ref="H1:L2"/>
    <mergeCell ref="H21:L21"/>
    <mergeCell ref="I18:J19"/>
  </mergeCells>
  <dataValidations count="1">
    <dataValidation type="list" allowBlank="1" showInputMessage="1" showErrorMessage="1" sqref="W83">
      <formula1>$A$44:$E$44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2023-06-23T12:15:36Z</dcterms:modified>
</cp:coreProperties>
</file>