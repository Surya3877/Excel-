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codeName="ThisWorkbook" autoCompressPictures="0"/>
  <xr:revisionPtr revIDLastSave="0" documentId="13_ncr:1_{DC21F06E-EC79-4FE4-8EC9-BB238A54D7D2}" xr6:coauthVersionLast="47" xr6:coauthVersionMax="47" xr10:uidLastSave="{00000000-0000-0000-0000-000000000000}"/>
  <bookViews>
    <workbookView xWindow="-108" yWindow="-108" windowWidth="23256" windowHeight="12456" firstSheet="4" activeTab="7"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s>
  <definedNames>
    <definedName name="_xlnm._FilterDatabase" localSheetId="5" hidden="1">'5. Sort &amp; filter'!$C$5:$G$13</definedName>
    <definedName name="Bangalore">#REF!</definedName>
    <definedName name="Delhi">#REF!</definedName>
    <definedName name="ExtraCredit">'1. Add'!$F$10:$G$15</definedName>
    <definedName name="Fruit">'1. Add'!$C$3:$D$7</definedName>
    <definedName name="Items">'1. Add'!$C$10:$D$15</definedName>
    <definedName name="Kolkata">#REF!</definedName>
    <definedName name="Maharashtra">#REF!</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3"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2" i="26" l="1"/>
  <c r="H34" i="26"/>
  <c r="H35" i="26"/>
  <c r="H36" i="26"/>
  <c r="H37" i="26"/>
  <c r="H38" i="26"/>
  <c r="H39" i="26"/>
  <c r="H40" i="26"/>
  <c r="H41" i="26"/>
  <c r="C40" i="25" a="1"/>
  <c r="D40" i="25" s="1"/>
  <c r="D15" i="23"/>
  <c r="F15" i="23"/>
  <c r="E5" i="23"/>
  <c r="G5" i="23" s="1"/>
  <c r="E6" i="23"/>
  <c r="G6" i="23" s="1"/>
  <c r="E7" i="23"/>
  <c r="G7" i="23" s="1"/>
  <c r="G78" i="21"/>
  <c r="D78" i="21"/>
  <c r="E54" i="21"/>
  <c r="D42" i="21"/>
  <c r="G16" i="21"/>
  <c r="D16" i="21"/>
  <c r="G8" i="21"/>
  <c r="D8" i="21"/>
  <c r="C40" i="25" l="1"/>
  <c r="D45" i="25"/>
  <c r="C45" i="25"/>
  <c r="D44" i="25"/>
  <c r="C44" i="25"/>
  <c r="D43" i="25"/>
  <c r="C43" i="25"/>
  <c r="D42" i="25"/>
  <c r="C42" i="25"/>
  <c r="D41" i="25"/>
  <c r="C41" i="25"/>
  <c r="D73" i="34"/>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2" i="32"/>
  <c r="C36" i="32"/>
  <c r="C34" i="32"/>
  <c r="C35" i="32"/>
  <c r="C37" i="32"/>
  <c r="C33" i="32"/>
  <c r="E4" i="23" l="1"/>
  <c r="F56" i="24" l="1"/>
  <c r="E56" i="24" l="1"/>
  <c r="H56" i="24"/>
  <c r="G56" i="24" l="1"/>
  <c r="E12" i="23" l="1"/>
  <c r="G12" i="23" s="1"/>
  <c r="E13" i="23"/>
  <c r="G13" i="23" s="1"/>
  <c r="E14" i="23"/>
  <c r="G14" i="23" s="1"/>
  <c r="E11" i="23"/>
  <c r="C15" i="23"/>
  <c r="G4" i="23"/>
  <c r="G11" i="23" l="1"/>
  <c r="G15" i="23" s="1"/>
  <c r="E15" i="23"/>
</calcChain>
</file>

<file path=xl/sharedStrings.xml><?xml version="1.0" encoding="utf-8"?>
<sst xmlns="http://schemas.openxmlformats.org/spreadsheetml/2006/main" count="726" uniqueCount="396">
  <si>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</si>
  <si>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</si>
  <si>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</si>
  <si>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</si>
  <si>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</si>
  <si>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</si>
  <si>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</si>
  <si>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</si>
  <si>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</si>
  <si>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</si>
  <si>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</si>
  <si>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</si>
  <si>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</si>
  <si>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</si>
  <si>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</si>
  <si>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</si>
  <si>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</si>
  <si>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</si>
  <si>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</si>
  <si>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</si>
  <si>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</si>
  <si>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</si>
  <si>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</si>
  <si>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</si>
  <si>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</si>
  <si>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</si>
  <si>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</si>
  <si>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</si>
  <si>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</si>
  <si>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</si>
  <si>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</si>
  <si>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</si>
  <si>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</si>
  <si>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</si>
  <si>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</si>
  <si>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</si>
  <si>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</si>
  <si>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</si>
  <si>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</si>
  <si>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</si>
  <si>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</si>
  <si>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</si>
  <si>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</si>
  <si>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</si>
  <si>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</si>
  <si>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</si>
  <si>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</si>
  <si>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</si>
  <si>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</si>
  <si>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</si>
  <si>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</si>
  <si>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</si>
  <si>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</si>
  <si>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</si>
  <si>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</si>
  <si>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</si>
  <si>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</si>
  <si>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</si>
  <si>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</si>
  <si>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</si>
  <si>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</si>
  <si>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</si>
  <si>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</si>
  <si>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</si>
  <si>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</si>
  <si>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</si>
  <si>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</si>
  <si>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</si>
  <si>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</si>
  <si>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</si>
  <si>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</si>
  <si>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</si>
  <si>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</si>
  <si>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</si>
  <si>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</si>
  <si>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</si>
  <si>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</si>
  <si>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</si>
  <si>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</si>
  <si>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</si>
  <si>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</si>
  <si>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</si>
  <si>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</si>
  <si>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</si>
  <si>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</si>
  <si>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</si>
  <si>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</si>
  <si>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</si>
  <si>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</si>
  <si>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</si>
  <si>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</si>
  <si>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</si>
  <si>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</si>
  <si>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</si>
  <si>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</si>
  <si>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</si>
  <si>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</si>
  <si>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</si>
  <si>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</si>
  <si>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</si>
  <si>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</si>
  <si>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</si>
  <si>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</si>
  <si>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</si>
  <si>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</si>
  <si>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</si>
  <si>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</si>
  <si>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</si>
  <si>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</si>
  <si>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</si>
  <si>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</si>
  <si>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</si>
  <si>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</si>
  <si>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</si>
  <si>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</si>
  <si>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</si>
  <si>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</si>
  <si>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</si>
  <si>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</si>
  <si>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</si>
  <si>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</si>
  <si>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</si>
  <si>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</si>
  <si>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</si>
  <si>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</si>
  <si>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</si>
  <si>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</si>
  <si>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</si>
  <si>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</si>
  <si>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</si>
  <si>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</si>
  <si>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</si>
  <si>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</si>
  <si>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</si>
  <si>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</si>
  <si>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</si>
  <si>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</si>
  <si>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</si>
  <si>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</si>
  <si>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</si>
  <si>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</si>
  <si>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</si>
  <si>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</si>
  <si>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</si>
  <si>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</si>
  <si>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</si>
  <si>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</si>
  <si>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</si>
  <si>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</si>
  <si>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</si>
  <si>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</si>
  <si>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</si>
  <si>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</si>
  <si>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</si>
  <si>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</si>
  <si>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</si>
  <si>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</si>
  <si>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</si>
  <si>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</si>
  <si>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</si>
  <si>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</si>
  <si>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</si>
  <si>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</si>
  <si>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</si>
  <si>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</si>
  <si>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</si>
  <si>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</si>
  <si>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</si>
  <si>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</si>
  <si>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</si>
  <si>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</si>
  <si>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</si>
  <si>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</si>
  <si>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</si>
  <si>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</si>
  <si>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</si>
  <si>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</si>
  <si>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</si>
  <si>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</si>
  <si>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</si>
  <si>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</si>
  <si>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</si>
  <si>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</si>
  <si>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</si>
  <si>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</si>
  <si>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</si>
  <si>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</si>
  <si>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</si>
  <si>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</si>
  <si>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</si>
  <si>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</si>
  <si>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</si>
  <si>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</si>
  <si>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</si>
  <si>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</si>
  <si>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</si>
  <si>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</si>
  <si>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</si>
  <si>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</si>
  <si>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</si>
  <si>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</si>
  <si>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</si>
  <si>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</si>
  <si>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</si>
  <si>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</si>
  <si>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</si>
  <si>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</si>
  <si>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</si>
  <si>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</si>
  <si>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</si>
  <si>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</si>
  <si>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</si>
  <si>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</si>
  <si>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</si>
  <si>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</si>
  <si>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</si>
  <si>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</si>
  <si>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</si>
  <si>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</si>
  <si>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</si>
  <si>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</si>
  <si>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</si>
  <si>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</si>
  <si>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</si>
  <si>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</si>
  <si>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</si>
  <si>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</si>
  <si>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</si>
  <si>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</si>
  <si>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</si>
  <si>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</si>
  <si>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</si>
  <si>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</si>
  <si>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</si>
  <si>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</si>
  <si>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</si>
  <si>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</si>
  <si>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</si>
  <si>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</si>
  <si>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</si>
  <si>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</si>
  <si>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</si>
  <si>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</si>
  <si>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On the Data tab, select Data Validation, or press ALT+DL to open the Data Validation dialogue box. Tab to Allow and select List. Press the tab key again.</t>
  </si>
  <si>
    <t>Create a table by pressing CTRL+T, then Enter.</t>
  </si>
  <si>
    <t>On the Data tab, select Data Validation, or press ALT+DL to open the Data Validation dialogue box. Tab to Allow and press DOWN ARROW to select List. Press the tab key again.</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</si>
  <si>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</si>
  <si>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</si>
  <si>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</si>
  <si>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</si>
  <si>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</si>
  <si>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</si>
  <si>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</si>
  <si>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</si>
  <si>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</si>
  <si>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</si>
  <si>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</si>
  <si>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</si>
  <si>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</si>
  <si>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</si>
  <si>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</si>
  <si>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</si>
  <si>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</si>
  <si>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</si>
  <si>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</si>
  <si>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</si>
  <si>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</si>
  <si>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</si>
  <si>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</si>
  <si>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</si>
  <si>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</si>
  <si>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</si>
  <si>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</si>
  <si>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</si>
  <si>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</si>
  <si>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</si>
  <si>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</si>
  <si>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</si>
  <si>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</si>
  <si>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</si>
  <si>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</si>
  <si>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</si>
  <si>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</si>
  <si>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</si>
  <si>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</si>
  <si>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</si>
  <si>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</si>
  <si>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</si>
  <si>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</si>
  <si>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</si>
  <si>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</si>
  <si>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</si>
  <si>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</si>
  <si>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</si>
  <si>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</si>
  <si>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</si>
  <si>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</si>
  <si>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</si>
  <si>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</si>
  <si>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</si>
  <si>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</si>
  <si>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</si>
  <si>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</si>
  <si>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</si>
  <si>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</si>
  <si>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</si>
  <si>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</si>
  <si>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</si>
  <si>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</si>
  <si>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</si>
  <si>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</si>
  <si>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</si>
  <si>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</si>
  <si>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</si>
  <si>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</si>
  <si>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</si>
  <si>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</si>
  <si>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</si>
  <si>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</si>
  <si>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</si>
  <si>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</si>
  <si>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</si>
  <si>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</si>
  <si>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</si>
  <si>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</si>
  <si>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</si>
  <si>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</si>
  <si>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</si>
  <si>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</si>
  <si>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</si>
  <si>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</si>
  <si>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</si>
  <si>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</si>
  <si>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</si>
  <si>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</si>
  <si>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</si>
  <si>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</si>
  <si>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</si>
  <si>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</si>
  <si>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</si>
  <si>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</si>
  <si>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</si>
  <si>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</si>
  <si>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</si>
  <si>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</si>
  <si>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</si>
  <si>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</si>
  <si>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</si>
  <si>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 A value axis represents numerical values. For example, a value axis can represent dollars, hours, duration, temperature, and so on.  The vertical axis in the chart on the right starting in cell D30 is a value axis.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</si>
  <si>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</si>
  <si>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</si>
  <si>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</si>
  <si>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</si>
  <si>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</si>
  <si>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</si>
  <si>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</si>
  <si>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</si>
  <si>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</si>
  <si>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</si>
  <si>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</si>
  <si>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</si>
  <si>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</si>
  <si>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</si>
  <si>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</si>
  <si>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</si>
  <si>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</si>
  <si>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</si>
  <si>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</si>
  <si>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</si>
  <si>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</si>
  <si>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</si>
  <si>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 </t>
  </si>
  <si>
    <t>Week 2</t>
  </si>
  <si>
    <t>Week 3</t>
  </si>
  <si>
    <t>Week 4</t>
  </si>
  <si>
    <t>Feb</t>
  </si>
  <si>
    <t>Mar</t>
  </si>
  <si>
    <t>Qrtr 2</t>
  </si>
  <si>
    <t>Qrtr 3</t>
  </si>
  <si>
    <t>Qrtr 4</t>
  </si>
  <si>
    <t>Nancy</t>
  </si>
  <si>
    <t>Andy</t>
  </si>
  <si>
    <t>Yvonne</t>
  </si>
  <si>
    <t>North</t>
  </si>
  <si>
    <t>Kotas</t>
  </si>
  <si>
    <t>Jones</t>
  </si>
  <si>
    <t>McKay</t>
  </si>
  <si>
    <t>Contoso Ltd.</t>
  </si>
  <si>
    <t>Fabrikam Inc.</t>
  </si>
  <si>
    <t>Relecloud</t>
  </si>
  <si>
    <t>Steven</t>
  </si>
  <si>
    <t>Thorpe</t>
  </si>
  <si>
    <t>Michael</t>
  </si>
  <si>
    <t>Neipper</t>
  </si>
  <si>
    <t>Robert</t>
  </si>
  <si>
    <t>Zare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</si>
</sst>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0_);\(&quot;$&quot;#,##0\)"/>
    <numFmt numFmtId="6" formatCode="&quot;$&quot;#,##0_);[Red]\(&quot;$&quot;#,##0\)"/>
    <numFmt numFmtId="42" formatCode="_(&quot;$&quot;* #,##0_);_(&quot;$&quot;* \(#,##0\);_(&quot;$&quot;* &quot;-&quot;_);_(@_)"/>
    <numFmt numFmtId="164" formatCode="yyyy;@"/>
    <numFmt numFmtId="165" formatCode="_(&quot;$&quot;* #,##0_);_(&quot;$&quot;* \(#,##0\);_(&quot;$&quot;* &quot;-&quot;??_);_(@_)"/>
    <numFmt numFmtId="167" formatCode="_ * #,##0.00_ ;_ * \-#,##0.00_ ;_ * &quot;-&quot;??_ ;_ @_ "/>
  </numFmts>
  <fonts count="15"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sz val="11"/>
      <name val="Calibri"/>
      <family val="2"/>
    </font>
    <font>
      <sz val="12"/>
      <name val="Arial Narrow"/>
      <family val="2"/>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7">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5" fontId="1" fillId="0" borderId="0" applyFont="0" applyFill="0" applyBorder="0" applyAlignment="0" applyProtection="0"/>
    <xf numFmtId="0" fontId="6" fillId="0" borderId="0"/>
    <xf numFmtId="0" fontId="8" fillId="0" borderId="0" applyFill="0" applyBorder="0">
      <alignment wrapText="1"/>
    </xf>
    <xf numFmtId="42" fontId="1" fillId="0" borderId="0" applyFont="0" applyFill="0" applyBorder="0" applyAlignment="0" applyProtection="0"/>
    <xf numFmtId="0" fontId="11" fillId="6" borderId="0" applyNumberFormat="0" applyBorder="0" applyProtection="0">
      <alignment horizontal="left" indent="1"/>
    </xf>
    <xf numFmtId="0" fontId="12" fillId="6" borderId="0" applyNumberFormat="0" applyProtection="0">
      <alignment horizontal="left" wrapText="1" indent="4"/>
    </xf>
    <xf numFmtId="0" fontId="8"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xf numFmtId="0" fontId="13" fillId="0" borderId="0"/>
    <xf numFmtId="167" fontId="14" fillId="0" borderId="0" applyFont="0" applyFill="0" applyBorder="0" applyAlignment="0" applyProtection="0"/>
  </cellStyleXfs>
  <cellXfs count="64">
    <xf numFmtId="0" fontId="0" fillId="0" borderId="0" xfId="0"/>
    <xf numFmtId="0" fontId="0" fillId="0" borderId="0" xfId="0" applyAlignment="1"/>
    <xf numFmtId="0" fontId="5" fillId="0" borderId="0" xfId="0" applyFont="1" applyAlignment="1"/>
    <xf numFmtId="0" fontId="4" fillId="0" borderId="0" xfId="0" applyFont="1" applyAlignme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Fill="1" applyBorder="1"/>
    <xf numFmtId="0" fontId="0" fillId="0" borderId="0" xfId="0" applyFill="1" applyBorder="1"/>
    <xf numFmtId="0" fontId="0" fillId="0" borderId="0" xfId="0" applyBorder="1"/>
    <xf numFmtId="0" fontId="0" fillId="0" borderId="0" xfId="0" applyBorder="1" applyAlignment="1">
      <alignment horizontal="left"/>
    </xf>
    <xf numFmtId="0" fontId="0" fillId="0" borderId="0" xfId="0" applyBorder="1" applyAlignment="1"/>
    <xf numFmtId="0" fontId="0" fillId="0" borderId="9" xfId="0" applyBorder="1"/>
    <xf numFmtId="0" fontId="0" fillId="0" borderId="0" xfId="0"/>
    <xf numFmtId="0" fontId="0" fillId="3" borderId="0" xfId="3" applyNumberFormat="1" applyFont="1" applyFill="1" applyBorder="1" applyAlignment="1"/>
    <xf numFmtId="0" fontId="6" fillId="2" borderId="0" xfId="0" applyFont="1" applyFill="1" applyAlignment="1"/>
    <xf numFmtId="0" fontId="0" fillId="0" borderId="0" xfId="0" pivotButton="1"/>
    <xf numFmtId="0" fontId="6" fillId="0" borderId="0" xfId="8"/>
    <xf numFmtId="0" fontId="8" fillId="6" borderId="0" xfId="9" applyFill="1">
      <alignment wrapText="1"/>
    </xf>
    <xf numFmtId="0" fontId="1" fillId="0" borderId="0" xfId="0" applyFont="1" applyAlignment="1"/>
    <xf numFmtId="0" fontId="1" fillId="0" borderId="0" xfId="0" applyFont="1" applyAlignment="1">
      <alignment horizontal="left"/>
    </xf>
    <xf numFmtId="0" fontId="1" fillId="5" borderId="10" xfId="4" applyFont="1"/>
    <xf numFmtId="0" fontId="1" fillId="3" borderId="0" xfId="3" applyFont="1"/>
    <xf numFmtId="0" fontId="1" fillId="3" borderId="1" xfId="5" applyFont="1"/>
    <xf numFmtId="0" fontId="1" fillId="0" borderId="0" xfId="0" applyFont="1"/>
    <xf numFmtId="0" fontId="1" fillId="0" borderId="0" xfId="0" applyFont="1" applyAlignment="1">
      <alignment horizontal="left" indent="1"/>
    </xf>
    <xf numFmtId="0" fontId="9" fillId="0" borderId="0" xfId="0" applyFont="1" applyAlignment="1"/>
    <xf numFmtId="0" fontId="10" fillId="0" borderId="0" xfId="0" applyFont="1" applyAlignment="1"/>
    <xf numFmtId="0" fontId="10" fillId="0" borderId="0" xfId="0" applyFont="1" applyAlignment="1">
      <alignment horizontal="left"/>
    </xf>
    <xf numFmtId="0" fontId="6" fillId="0" borderId="0" xfId="8" applyFont="1"/>
    <xf numFmtId="0" fontId="11" fillId="6" borderId="0" xfId="11">
      <alignment horizontal="left" indent="1"/>
    </xf>
    <xf numFmtId="0" fontId="12" fillId="6" borderId="0" xfId="12">
      <alignment horizontal="left" wrapText="1" indent="4"/>
    </xf>
    <xf numFmtId="0" fontId="1" fillId="3" borderId="1" xfId="5"/>
    <xf numFmtId="0" fontId="6"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0" fontId="0" fillId="0" borderId="0" xfId="0" applyFont="1" applyFill="1"/>
    <xf numFmtId="6" fontId="0" fillId="0" borderId="0" xfId="0" applyNumberFormat="1" applyFont="1" applyFill="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Font="1" applyFill="1" applyBorder="1" applyAlignment="1"/>
    <xf numFmtId="0" fontId="0" fillId="0" borderId="6" xfId="0" applyFill="1" applyBorder="1"/>
    <xf numFmtId="0" fontId="0" fillId="0" borderId="7" xfId="18" applyFont="1" applyFill="1" applyBorder="1"/>
    <xf numFmtId="0" fontId="6" fillId="2" borderId="0" xfId="14" applyBorder="1"/>
    <xf numFmtId="0" fontId="6" fillId="0" borderId="0" xfId="8" applyAlignment="1"/>
    <xf numFmtId="0" fontId="6" fillId="0" borderId="0" xfId="8" applyAlignment="1">
      <alignment wrapText="1"/>
    </xf>
    <xf numFmtId="0" fontId="8" fillId="6" borderId="0" xfId="13">
      <alignment horizontal="left" wrapText="1" indent="4"/>
    </xf>
    <xf numFmtId="5" fontId="1" fillId="3" borderId="0" xfId="7" applyFill="1"/>
    <xf numFmtId="5" fontId="1" fillId="0" borderId="0" xfId="0" applyNumberFormat="1" applyFont="1" applyAlignment="1"/>
  </cellXfs>
  <cellStyles count="27">
    <cellStyle name="Bottom Border" xfId="16" xr:uid="{00000000-0005-0000-0000-000000000000}"/>
    <cellStyle name="Bottom Green Border" xfId="19" xr:uid="{00000000-0005-0000-0000-000001000000}"/>
    <cellStyle name="Comma 2" xfId="26" xr:uid="{C89000E6-7840-4259-B654-9FCF1300457C}"/>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Normal 2" xfId="25" xr:uid="{D77DE656-CBE0-422C-91D1-41BA18E84BDD}"/>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4">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quot;$&quot;#,##0_);\(&quot;$&quot;#,##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9" formatCode="&quot;$&quot;#,##0_);\(&quot;$&quot;#,##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9" formatCode="&quot;$&quot;#,##0_);\(&quot;$&quot;#,##0\)"/>
    </dxf>
    <dxf>
      <fill>
        <patternFill patternType="solid">
          <fgColor rgb="FFFFFF00"/>
          <bgColor rgb="FF000000"/>
        </patternFill>
      </fill>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3"/>
      <tableStyleElement type="firstRowStripe" dxfId="12"/>
    </tableStyle>
    <tableStyle name="PivotTable Style 1" table="0" count="2" xr9:uid="{00000000-0011-0000-FFFF-FFFF01000000}">
      <tableStyleElement type="headerRow" dxfId="11"/>
      <tableStyleElement type="totalRow" dxfId="10"/>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2018</c:v>
                </c:pt>
                <c:pt idx="1">
                  <c:v>2019</c:v>
                </c:pt>
                <c:pt idx="2">
                  <c:v>2020</c:v>
                </c:pt>
                <c:pt idx="3">
                  <c:v>2021</c:v>
                </c:pt>
                <c:pt idx="4">
                  <c:v>2022</c:v>
                </c:pt>
                <c:pt idx="5">
                  <c:v>2023</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2018</c:v>
                </c:pt>
                <c:pt idx="1">
                  <c:v>2019</c:v>
                </c:pt>
                <c:pt idx="2">
                  <c:v>2020</c:v>
                </c:pt>
                <c:pt idx="3">
                  <c:v>2021</c:v>
                </c:pt>
                <c:pt idx="4">
                  <c:v>2022</c:v>
                </c:pt>
                <c:pt idx="5">
                  <c:v>2023</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2018</c:v>
                </c:pt>
                <c:pt idx="1">
                  <c:v>2019</c:v>
                </c:pt>
                <c:pt idx="2">
                  <c:v>2020</c:v>
                </c:pt>
                <c:pt idx="3">
                  <c:v>2021</c:v>
                </c:pt>
                <c:pt idx="4">
                  <c:v>2022</c:v>
                </c:pt>
                <c:pt idx="5">
                  <c:v>2023</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numRef>
              <c:f>'9. Charts'!$C$6:$C$11</c:f>
              <c:numCache>
                <c:formatCode>General</c:formatCode>
                <c:ptCount val="6"/>
                <c:pt idx="0">
                  <c:v>2018</c:v>
                </c:pt>
                <c:pt idx="1">
                  <c:v>2019</c:v>
                </c:pt>
                <c:pt idx="2">
                  <c:v>2020</c:v>
                </c:pt>
                <c:pt idx="3">
                  <c:v>2021</c:v>
                </c:pt>
                <c:pt idx="4">
                  <c:v>2022</c:v>
                </c:pt>
                <c:pt idx="5">
                  <c:v>2023</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060C-48BC-AA81-92A04489569B}"/>
            </c:ext>
          </c:extLst>
        </c:ser>
        <c:dLbls>
          <c:showLegendKey val="0"/>
          <c:showVal val="0"/>
          <c:showCatName val="0"/>
          <c:showSerName val="0"/>
          <c:showPercent val="0"/>
          <c:showBubbleSize val="0"/>
        </c:dLbls>
        <c:gapWidth val="219"/>
        <c:overlap val="-27"/>
        <c:axId val="869269231"/>
        <c:axId val="923878815"/>
      </c:barChart>
      <c:catAx>
        <c:axId val="8692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878815"/>
        <c:crosses val="autoZero"/>
        <c:auto val="1"/>
        <c:lblAlgn val="ctr"/>
        <c:lblOffset val="100"/>
        <c:noMultiLvlLbl val="0"/>
      </c:catAx>
      <c:valAx>
        <c:axId val="92387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269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2018</c:v>
                </c:pt>
                <c:pt idx="1">
                  <c:v>2019</c:v>
                </c:pt>
                <c:pt idx="2">
                  <c:v>2020</c:v>
                </c:pt>
                <c:pt idx="3">
                  <c:v>2021</c:v>
                </c:pt>
                <c:pt idx="4">
                  <c:v>2022</c:v>
                </c:pt>
                <c:pt idx="5">
                  <c:v>2023</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3-D568-43B9-BA3C-2C7DD6A7C73A}"/>
            </c:ext>
          </c:extLst>
        </c:ser>
        <c:dLbls>
          <c:showLegendKey val="0"/>
          <c:showVal val="0"/>
          <c:showCatName val="0"/>
          <c:showSerName val="0"/>
          <c:showPercent val="0"/>
          <c:showBubbleSize val="0"/>
        </c:dLbls>
        <c:gapWidth val="219"/>
        <c:overlap val="-27"/>
        <c:axId val="1087932335"/>
        <c:axId val="881437599"/>
      </c:barChart>
      <c:catAx>
        <c:axId val="10879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437599"/>
        <c:crosses val="autoZero"/>
        <c:auto val="1"/>
        <c:lblAlgn val="ctr"/>
        <c:lblOffset val="100"/>
        <c:noMultiLvlLbl val="0"/>
      </c:catAx>
      <c:valAx>
        <c:axId val="88143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932335"/>
        <c:crosses val="autoZero"/>
        <c:crossBetween val="between"/>
      </c:valAx>
      <c:spPr>
        <a:no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'9. Charts'!$E$67</c:f>
              <c:strCache>
                <c:ptCount val="1"/>
                <c:pt idx="0">
                  <c:v>Conference attendance</c:v>
                </c:pt>
              </c:strCache>
            </c:strRef>
          </c:tx>
          <c:spPr>
            <a:solidFill>
              <a:schemeClr val="accent5"/>
            </a:solidFill>
            <a:ln>
              <a:noFill/>
            </a:ln>
            <a:effectLst/>
          </c:spPr>
          <c:invertIfNegative val="0"/>
          <c:cat>
            <c:numRef>
              <c:f>'9. Charts'!$D$68:$D$73</c:f>
              <c:numCache>
                <c:formatCode>General</c:formatCode>
                <c:ptCount val="6"/>
                <c:pt idx="0">
                  <c:v>2018</c:v>
                </c:pt>
                <c:pt idx="1">
                  <c:v>2019</c:v>
                </c:pt>
                <c:pt idx="2">
                  <c:v>2020</c:v>
                </c:pt>
                <c:pt idx="3">
                  <c:v>2021</c:v>
                </c:pt>
                <c:pt idx="4">
                  <c:v>2022</c:v>
                </c:pt>
                <c:pt idx="5">
                  <c:v>2023</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1-7173-4827-9B5D-CE56611D2172}"/>
            </c:ext>
          </c:extLst>
        </c:ser>
        <c:dLbls>
          <c:showLegendKey val="0"/>
          <c:showVal val="0"/>
          <c:showCatName val="0"/>
          <c:showSerName val="0"/>
          <c:showPercent val="0"/>
          <c:showBubbleSize val="0"/>
        </c:dLbls>
        <c:gapWidth val="150"/>
        <c:axId val="1085960127"/>
        <c:axId val="881395583"/>
      </c:barChart>
      <c:lineChart>
        <c:grouping val="standard"/>
        <c:varyColors val="0"/>
        <c:ser>
          <c:idx val="2"/>
          <c:order val="1"/>
          <c:tx>
            <c:strRef>
              <c:f>'9. Charts'!$F$67</c:f>
              <c:strCache>
                <c:ptCount val="1"/>
                <c:pt idx="0">
                  <c:v>Food sales</c:v>
                </c:pt>
              </c:strCache>
            </c:strRef>
          </c:tx>
          <c:spPr>
            <a:ln w="28575" cap="rnd">
              <a:solidFill>
                <a:schemeClr val="accent5">
                  <a:tint val="65000"/>
                </a:schemeClr>
              </a:solidFill>
              <a:round/>
            </a:ln>
            <a:effectLst/>
          </c:spPr>
          <c:marker>
            <c:symbol val="none"/>
          </c:marker>
          <c:cat>
            <c:numRef>
              <c:f>'9. Charts'!$D$68:$D$73</c:f>
              <c:numCache>
                <c:formatCode>General</c:formatCode>
                <c:ptCount val="6"/>
                <c:pt idx="0">
                  <c:v>2018</c:v>
                </c:pt>
                <c:pt idx="1">
                  <c:v>2019</c:v>
                </c:pt>
                <c:pt idx="2">
                  <c:v>2020</c:v>
                </c:pt>
                <c:pt idx="3">
                  <c:v>2021</c:v>
                </c:pt>
                <c:pt idx="4">
                  <c:v>2022</c:v>
                </c:pt>
                <c:pt idx="5">
                  <c:v>2023</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2-7173-4827-9B5D-CE56611D2172}"/>
            </c:ext>
          </c:extLst>
        </c:ser>
        <c:dLbls>
          <c:showLegendKey val="0"/>
          <c:showVal val="0"/>
          <c:showCatName val="0"/>
          <c:showSerName val="0"/>
          <c:showPercent val="0"/>
          <c:showBubbleSize val="0"/>
        </c:dLbls>
        <c:marker val="1"/>
        <c:smooth val="0"/>
        <c:axId val="1085973727"/>
        <c:axId val="881396415"/>
      </c:lineChart>
      <c:catAx>
        <c:axId val="10859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95583"/>
        <c:crosses val="autoZero"/>
        <c:auto val="1"/>
        <c:lblAlgn val="ctr"/>
        <c:lblOffset val="100"/>
        <c:noMultiLvlLbl val="0"/>
      </c:catAx>
      <c:valAx>
        <c:axId val="88139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60127"/>
        <c:crosses val="autoZero"/>
        <c:crossBetween val="between"/>
      </c:valAx>
      <c:valAx>
        <c:axId val="881396415"/>
        <c:scaling>
          <c:orientation val="minMax"/>
        </c:scaling>
        <c:delete val="0"/>
        <c:axPos val="r"/>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73727"/>
        <c:crosses val="max"/>
        <c:crossBetween val="between"/>
      </c:valAx>
      <c:catAx>
        <c:axId val="1085973727"/>
        <c:scaling>
          <c:orientation val="minMax"/>
        </c:scaling>
        <c:delete val="1"/>
        <c:axPos val="b"/>
        <c:numFmt formatCode="General" sourceLinked="1"/>
        <c:majorTickMark val="none"/>
        <c:minorTickMark val="none"/>
        <c:tickLblPos val="nextTo"/>
        <c:crossAx val="8813964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44741" TargetMode="External"/><Relationship Id="rId13" Type="http://schemas.microsoft.com/office/2007/relationships/hdphoto" Target="../media/hdphoto1.wdp"/><Relationship Id="rId3" Type="http://schemas.openxmlformats.org/officeDocument/2006/relationships/image" Target="../media/image12.svg"/><Relationship Id="rId7" Type="http://schemas.openxmlformats.org/officeDocument/2006/relationships/hyperlink" Target="#'2. Fill'!A1"/><Relationship Id="rId12" Type="http://schemas.openxmlformats.org/officeDocument/2006/relationships/image" Target="../media/image14.png"/><Relationship Id="rId2" Type="http://schemas.openxmlformats.org/officeDocument/2006/relationships/image" Target="../media/image11.png"/><Relationship Id="rId1" Type="http://schemas.openxmlformats.org/officeDocument/2006/relationships/hyperlink" Target="#'3. Split'!A1"/><Relationship Id="rId6" Type="http://schemas.openxmlformats.org/officeDocument/2006/relationships/image" Target="../media/image13.png"/><Relationship Id="rId11" Type="http://schemas.openxmlformats.org/officeDocument/2006/relationships/hyperlink" Target="https://go.microsoft.com/fwlink/?linkid=844745" TargetMode="External"/><Relationship Id="rId5" Type="http://schemas.openxmlformats.org/officeDocument/2006/relationships/image" Target="../media/image6.svg"/><Relationship Id="rId15" Type="http://schemas.openxmlformats.org/officeDocument/2006/relationships/image" Target="../media/image16.svg"/><Relationship Id="rId10" Type="http://schemas.openxmlformats.org/officeDocument/2006/relationships/image" Target="../media/image4.svg"/><Relationship Id="rId4" Type="http://schemas.openxmlformats.org/officeDocument/2006/relationships/image" Target="../media/image5.png"/><Relationship Id="rId9" Type="http://schemas.openxmlformats.org/officeDocument/2006/relationships/image" Target="../media/image3.png"/><Relationship Id="rId1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image" Target="../media/image19.png"/><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25.png"/><Relationship Id="rId3" Type="http://schemas.openxmlformats.org/officeDocument/2006/relationships/image" Target="../media/image21.svg"/><Relationship Id="rId7" Type="http://schemas.openxmlformats.org/officeDocument/2006/relationships/hyperlink" Target="https://go.microsoft.com/fwlink/?linkid=844743" TargetMode="External"/><Relationship Id="rId12" Type="http://schemas.openxmlformats.org/officeDocument/2006/relationships/image" Target="../media/image24.png"/><Relationship Id="rId2" Type="http://schemas.openxmlformats.org/officeDocument/2006/relationships/image" Target="../media/image20.png"/><Relationship Id="rId1" Type="http://schemas.openxmlformats.org/officeDocument/2006/relationships/hyperlink" Target="#'5. Sort &amp; filter'!A1"/><Relationship Id="rId6" Type="http://schemas.openxmlformats.org/officeDocument/2006/relationships/hyperlink" Target="#'4. Transpose'!A1"/><Relationship Id="rId11" Type="http://schemas.openxmlformats.org/officeDocument/2006/relationships/hyperlink" Target="https://go.microsoft.com/fwlink/?linkid=844752" TargetMode="External"/><Relationship Id="rId5" Type="http://schemas.openxmlformats.org/officeDocument/2006/relationships/image" Target="../media/image23.svg"/><Relationship Id="rId10" Type="http://schemas.openxmlformats.org/officeDocument/2006/relationships/hyperlink" Target="https://go.microsoft.com/fwlink/?linkid=844747" TargetMode="External"/><Relationship Id="rId4" Type="http://schemas.openxmlformats.org/officeDocument/2006/relationships/image" Target="../media/image22.png"/><Relationship Id="rId9" Type="http://schemas.openxmlformats.org/officeDocument/2006/relationships/image" Target="../media/image4.svg"/><Relationship Id="rId14" Type="http://schemas.openxmlformats.org/officeDocument/2006/relationships/image" Target="../media/image26.svg"/></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44746" TargetMode="External"/><Relationship Id="rId3" Type="http://schemas.openxmlformats.org/officeDocument/2006/relationships/hyperlink" Target="#'6. Tables'!A1"/><Relationship Id="rId7" Type="http://schemas.openxmlformats.org/officeDocument/2006/relationships/hyperlink" Target="#'5. Sort &amp; filter'!A1"/><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8.svg"/><Relationship Id="rId11" Type="http://schemas.openxmlformats.org/officeDocument/2006/relationships/hyperlink" Target="https://go.microsoft.com/fwlink/?linkid=844750" TargetMode="External"/><Relationship Id="rId5" Type="http://schemas.openxmlformats.org/officeDocument/2006/relationships/image" Target="../media/image7.png"/><Relationship Id="rId10" Type="http://schemas.openxmlformats.org/officeDocument/2006/relationships/image" Target="../media/image4.svg"/><Relationship Id="rId4" Type="http://schemas.openxmlformats.org/officeDocument/2006/relationships/image" Target="../media/image27.png"/><Relationship Id="rId9" Type="http://schemas.openxmlformats.org/officeDocument/2006/relationships/image" Target="../media/image3.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svg"/><Relationship Id="rId13" Type="http://schemas.openxmlformats.org/officeDocument/2006/relationships/image" Target="../media/image4.svg"/><Relationship Id="rId3" Type="http://schemas.openxmlformats.org/officeDocument/2006/relationships/image" Target="../media/image5.png"/><Relationship Id="rId7" Type="http://schemas.openxmlformats.org/officeDocument/2006/relationships/image" Target="../media/image15.png"/><Relationship Id="rId12" Type="http://schemas.openxmlformats.org/officeDocument/2006/relationships/image" Target="../media/image3.png"/><Relationship Id="rId2" Type="http://schemas.openxmlformats.org/officeDocument/2006/relationships/image" Target="../media/image28.png"/><Relationship Id="rId1" Type="http://schemas.openxmlformats.org/officeDocument/2006/relationships/hyperlink" Target="#'7. Drop-downs'!A1"/><Relationship Id="rId6" Type="http://schemas.openxmlformats.org/officeDocument/2006/relationships/image" Target="../media/image12.svg"/><Relationship Id="rId11" Type="http://schemas.openxmlformats.org/officeDocument/2006/relationships/hyperlink" Target="https://go.microsoft.com/fwlink/?linkid=844726" TargetMode="External"/><Relationship Id="rId5" Type="http://schemas.openxmlformats.org/officeDocument/2006/relationships/image" Target="../media/image11.png"/><Relationship Id="rId15" Type="http://schemas.openxmlformats.org/officeDocument/2006/relationships/hyperlink" Target="https://go.microsoft.com/fwlink/?linkid=844731" TargetMode="External"/><Relationship Id="rId10" Type="http://schemas.openxmlformats.org/officeDocument/2006/relationships/hyperlink" Target="#'6. Tables'!A1"/><Relationship Id="rId4" Type="http://schemas.openxmlformats.org/officeDocument/2006/relationships/image" Target="../media/image6.svg"/><Relationship Id="rId9" Type="http://schemas.openxmlformats.org/officeDocument/2006/relationships/image" Target="../media/image29.png"/><Relationship Id="rId14" Type="http://schemas.openxmlformats.org/officeDocument/2006/relationships/hyperlink" Target="https://go.microsoft.com/fwlink/?linkid=844728" TargetMode="External"/></Relationships>
</file>

<file path=xl/drawings/_rels/drawing8.xml.rels><?xml version="1.0" encoding="UTF-8" standalone="yes"?>
<Relationships xmlns="http://schemas.openxmlformats.org/package/2006/relationships"><Relationship Id="rId8" Type="http://schemas.openxmlformats.org/officeDocument/2006/relationships/hyperlink" Target="#'7. Drop-downs'!A1"/><Relationship Id="rId3" Type="http://schemas.openxmlformats.org/officeDocument/2006/relationships/image" Target="../media/image31.png"/><Relationship Id="rId7" Type="http://schemas.openxmlformats.org/officeDocument/2006/relationships/image" Target="../media/image6.svg"/><Relationship Id="rId12" Type="http://schemas.openxmlformats.org/officeDocument/2006/relationships/hyperlink" Target="https://go.microsoft.com/fwlink/?linkid=844742" TargetMode="External"/><Relationship Id="rId2" Type="http://schemas.openxmlformats.org/officeDocument/2006/relationships/image" Target="../media/image30.png"/><Relationship Id="rId1" Type="http://schemas.openxmlformats.org/officeDocument/2006/relationships/hyperlink" Target="#'8. Analyze'!A1"/><Relationship Id="rId6" Type="http://schemas.openxmlformats.org/officeDocument/2006/relationships/image" Target="../media/image5.png"/><Relationship Id="rId11" Type="http://schemas.openxmlformats.org/officeDocument/2006/relationships/image" Target="../media/image4.svg"/><Relationship Id="rId5" Type="http://schemas.openxmlformats.org/officeDocument/2006/relationships/image" Target="../media/image26.svg"/><Relationship Id="rId10" Type="http://schemas.openxmlformats.org/officeDocument/2006/relationships/image" Target="../media/image3.png"/><Relationship Id="rId4" Type="http://schemas.openxmlformats.org/officeDocument/2006/relationships/image" Target="../media/image25.png"/><Relationship Id="rId9" Type="http://schemas.openxmlformats.org/officeDocument/2006/relationships/hyperlink" Target="https://go.microsoft.com/fwlink/?linkid=844735" TargetMode="External"/></Relationships>
</file>

<file path=xl/drawings/_rels/drawing9.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https://go.microsoft.com/fwlink/?linkid=844725" TargetMode="External"/><Relationship Id="rId7" Type="http://schemas.openxmlformats.org/officeDocument/2006/relationships/image" Target="../media/image32.png"/><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image" Target="../media/image6.svg"/></Relationships>
</file>

<file path=xl/drawings/_rels/drawing10.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4.xml"/><Relationship Id="rId3" Type="http://schemas.openxmlformats.org/officeDocument/2006/relationships/hyperlink" Target="#'10. PivotTables'!A1"/><Relationship Id="rId7" Type="http://schemas.openxmlformats.org/officeDocument/2006/relationships/hyperlink" Target="https://go.microsoft.com/fwlink/?linkid=844734" TargetMode="External"/><Relationship Id="rId12" Type="http://schemas.openxmlformats.org/officeDocument/2006/relationships/chart" Target="../charts/chart3.xm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hyperlink" Target="#'9. Charts'!A1"/><Relationship Id="rId11" Type="http://schemas.openxmlformats.org/officeDocument/2006/relationships/hyperlink" Target="https://go.microsoft.com/fwlink/?linkid=844739" TargetMode="External"/><Relationship Id="rId5" Type="http://schemas.openxmlformats.org/officeDocument/2006/relationships/chart" Target="../charts/chart2.xml"/><Relationship Id="rId10" Type="http://schemas.openxmlformats.org/officeDocument/2006/relationships/hyperlink" Target="https://go.microsoft.com/fwlink/?linkid=844738" TargetMode="External"/><Relationship Id="rId4" Type="http://schemas.openxmlformats.org/officeDocument/2006/relationships/chart" Target="../charts/chart1.xml"/><Relationship Id="rId9" Type="http://schemas.openxmlformats.org/officeDocument/2006/relationships/image" Target="../media/image4.svg"/><Relationship Id="rId14"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3" Type="http://schemas.openxmlformats.org/officeDocument/2006/relationships/hyperlink" Target="#'10. PivotTables'!A1"/><Relationship Id="rId7" Type="http://schemas.openxmlformats.org/officeDocument/2006/relationships/hyperlink" Target="https://go.microsoft.com/fwlink/?linkid=844749" TargetMode="External"/><Relationship Id="rId2" Type="http://schemas.openxmlformats.org/officeDocument/2006/relationships/image" Target="../media/image33.png"/><Relationship Id="rId1" Type="http://schemas.openxmlformats.org/officeDocument/2006/relationships/hyperlink" Target="#'Learn mor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https://go.microsoft.com/fwlink/?linkid=844744"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716905"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657975" y="15425865"/>
          <a:ext cx="340042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716905"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667500" y="10721969"/>
          <a:ext cx="36766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732195" y="7512049"/>
          <a:ext cx="264053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716905"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305925" y="3495675"/>
          <a:ext cx="22383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716905"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716905"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561595" y="1141095"/>
          <a:ext cx="2125580" cy="1771550"/>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716905"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886575" y="9378929"/>
          <a:ext cx="35968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6"/>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716905"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716905"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8"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1"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2">
          <a:extLst>
            <a:ext uri="{BEBA8EAE-BF5A-486C-A8C5-ECC9F3942E4B}">
              <a14:imgProps xmlns:a14="http://schemas.microsoft.com/office/drawing/2010/main">
                <a14:imgLayer r:embed="rId13">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584950" y="12300756"/>
          <a:ext cx="38830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601074" y="2478405"/>
          <a:ext cx="1767841" cy="1226819"/>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97930" y="11239500"/>
          <a:ext cx="9762040"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716039"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716905"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716905"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658225" y="8172449"/>
          <a:ext cx="3453765" cy="1704976"/>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716905"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5"/>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716905"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562724" y="6105525"/>
          <a:ext cx="51197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307454" y="7362825"/>
          <a:ext cx="311758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716905"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716905"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584949" y="9925049"/>
          <a:ext cx="42068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629400" y="13173075"/>
          <a:ext cx="38480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716905"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7"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0"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1"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64405"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2"/>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686800" y="2047875"/>
          <a:ext cx="163830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553200" y="3242309"/>
          <a:ext cx="3912870" cy="155829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716905"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4"/>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4"/>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716905"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9928860" y="6210299"/>
          <a:ext cx="220408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62</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716905"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4"/>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4"/>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62</xdr:row>
      <xdr:rowOff>161925</xdr:rowOff>
    </xdr:from>
    <xdr:to>
      <xdr:col>1</xdr:col>
      <xdr:colOff>5238051</xdr:colOff>
      <xdr:row>78</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716905"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8"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1"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716905"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2"/>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716905"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9071610" y="11515725"/>
          <a:ext cx="2225040"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858125" y="3543299"/>
          <a:ext cx="263651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6981825" y="8486775"/>
          <a:ext cx="413385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716905"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9"/>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716905"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0"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1"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4"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4"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5"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716905"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71690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2"/>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3"/>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810625" y="6951739"/>
          <a:ext cx="254317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791575" y="847725"/>
          <a:ext cx="273367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71690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9"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2"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716905"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716905"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716905"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716905"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7"/>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7"/>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280671" y="3155155"/>
          <a:ext cx="3274934"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7"/>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277100" y="3209925"/>
          <a:ext cx="28384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716905"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716905"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524750" y="10420350"/>
          <a:ext cx="5605511"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71690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69330" y="6181725"/>
          <a:ext cx="5703570"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716905"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7"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0"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1"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1991975" y="13392149"/>
          <a:ext cx="14859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277758" y="14668500"/>
          <a:ext cx="30759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twoCellAnchor>
    <xdr:from>
      <xdr:col>4</xdr:col>
      <xdr:colOff>243840</xdr:colOff>
      <xdr:row>0</xdr:row>
      <xdr:rowOff>453390</xdr:rowOff>
    </xdr:from>
    <xdr:to>
      <xdr:col>9</xdr:col>
      <xdr:colOff>281940</xdr:colOff>
      <xdr:row>13</xdr:row>
      <xdr:rowOff>148590</xdr:rowOff>
    </xdr:to>
    <xdr:graphicFrame macro="">
      <xdr:nvGraphicFramePr>
        <xdr:cNvPr id="4" name="Chart 3">
          <a:extLst>
            <a:ext uri="{FF2B5EF4-FFF2-40B4-BE49-F238E27FC236}">
              <a16:creationId xmlns:a16="http://schemas.microsoft.com/office/drawing/2014/main" id="{E592C652-B192-4126-8CFC-ECE9B7808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373380</xdr:colOff>
      <xdr:row>40</xdr:row>
      <xdr:rowOff>179070</xdr:rowOff>
    </xdr:from>
    <xdr:to>
      <xdr:col>1</xdr:col>
      <xdr:colOff>4076700</xdr:colOff>
      <xdr:row>55</xdr:row>
      <xdr:rowOff>64770</xdr:rowOff>
    </xdr:to>
    <xdr:graphicFrame macro="">
      <xdr:nvGraphicFramePr>
        <xdr:cNvPr id="7" name="Chart 6">
          <a:extLst>
            <a:ext uri="{FF2B5EF4-FFF2-40B4-BE49-F238E27FC236}">
              <a16:creationId xmlns:a16="http://schemas.microsoft.com/office/drawing/2014/main" id="{E6D207A4-EE39-4B07-857B-66A36A875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358140</xdr:colOff>
      <xdr:row>51</xdr:row>
      <xdr:rowOff>125730</xdr:rowOff>
    </xdr:from>
    <xdr:to>
      <xdr:col>16</xdr:col>
      <xdr:colOff>53340</xdr:colOff>
      <xdr:row>66</xdr:row>
      <xdr:rowOff>11430</xdr:rowOff>
    </xdr:to>
    <xdr:graphicFrame macro="">
      <xdr:nvGraphicFramePr>
        <xdr:cNvPr id="9" name="Chart 8">
          <a:extLst>
            <a:ext uri="{FF2B5EF4-FFF2-40B4-BE49-F238E27FC236}">
              <a16:creationId xmlns:a16="http://schemas.microsoft.com/office/drawing/2014/main" id="{06EB6EDE-D442-4712-8A15-178143B3C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716905"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716905"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2"/>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2"/>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716905"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4"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7"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829425" y="2451566"/>
          <a:ext cx="1429752"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2803.907807986114" createdVersion="6" refreshedVersion="6"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15-01-15T00:00:00" maxDate="2015-03-07T00:00:00"/>
    </cacheField>
    <cacheField name="Salesperson" numFmtId="0">
      <sharedItems count="4">
        <s v="Anne"/>
        <s v="Mark"/>
        <s v="Mariya"/>
        <s v="Laura"/>
      </sharedItems>
    </cacheField>
    <cacheField name="Product" numFmtId="0">
      <sharedItems count="3">
        <s v="Beer"/>
        <s v="Wine"/>
        <s v="Soda"/>
      </sharedItems>
    </cacheField>
    <cacheField name="Amount" numFmtId="165">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15-01-15T00:00:00"/>
    <x v="0"/>
    <x v="0"/>
    <n v="1400"/>
  </r>
  <r>
    <d v="2015-01-20T00:00:00"/>
    <x v="1"/>
    <x v="1"/>
    <n v="1010"/>
  </r>
  <r>
    <d v="2015-02-06T00:00:00"/>
    <x v="0"/>
    <x v="0"/>
    <n v="750"/>
  </r>
  <r>
    <d v="2015-02-10T00:00:00"/>
    <x v="1"/>
    <x v="2"/>
    <n v="510"/>
  </r>
  <r>
    <d v="2015-02-23T00:00:00"/>
    <x v="2"/>
    <x v="2"/>
    <n v="1600"/>
  </r>
  <r>
    <d v="2015-03-06T00:00:00"/>
    <x v="3"/>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items count="5">
        <item x="0"/>
        <item x="3"/>
        <item x="2"/>
        <item x="1"/>
        <item t="default"/>
      </items>
    </pivotField>
    <pivotField axis="axisRow" subtotalTop="0" showAll="0">
      <items count="4">
        <item x="0"/>
        <item x="2"/>
        <item x="1"/>
        <item t="default"/>
      </items>
    </pivotField>
    <pivotField dataField="1" numFmtId="165" subtotalTop="0" showAll="0"/>
  </pivotFields>
  <rowFields count="1">
    <field x="2"/>
  </rowFields>
  <rowItems count="4">
    <i>
      <x/>
    </i>
    <i>
      <x v="1"/>
    </i>
    <i>
      <x v="2"/>
    </i>
    <i t="grand">
      <x/>
    </i>
  </rowItems>
  <colItems count="1">
    <i/>
  </colItems>
  <dataFields count="1">
    <dataField name="Sum of Amount" fld="3" baseField="2" baseItem="1" numFmtId="5"/>
  </dataFields>
  <formats count="1">
    <format dxfId="3">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sortState xmlns:xlrd2="http://schemas.microsoft.com/office/spreadsheetml/2017/richdata2" ref="C32:F37">
    <sortCondition sortBy="cellColor" ref="F36" dxfId="9"/>
  </sortState>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filterColumn colId="2">
      <customFilters>
        <customFilter operator="greaterThan" val="25"/>
      </customFilters>
    </filterColumn>
    <filterColumn colId="3">
      <dynamicFilter type="aboveAverage" val="2701"/>
    </filterColumn>
  </autoFilter>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8" dataCellStyle="Currency">
      <calculatedColumnFormula>SUM(CalculatedColumns[[#This Row],[Oct]:[Dec]])</calculatedColumnFormula>
    </tableColumn>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2" totalsRowCount="1" headerRowCellStyle="Heading 3">
  <autoFilter ref="C53:E61" xr:uid="{00000000-0009-0000-0100-000003000000}"/>
  <tableColumns count="3">
    <tableColumn id="1" xr3:uid="{00000000-0010-0000-0300-000001000000}" name="Department" totalsRowDxfId="7"/>
    <tableColumn id="2" xr3:uid="{00000000-0010-0000-0300-000002000000}" name="Category" totalsRowDxfId="6"/>
    <tableColumn id="6" xr3:uid="{00000000-0010-0000-0300-000006000000}" name="Sales" totalsRowFunction="sum" totalsRowDxfId="5"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3457A7-A528-4FE6-ADC5-B9DFF74AB20C}" name="Table4" displayName="Table4" ref="C5:G13" totalsRowShown="0">
  <autoFilter ref="C5:G13" xr:uid="{D54132AA-05AA-45D8-8CE5-CA10BF9654DA}"/>
  <tableColumns count="5">
    <tableColumn id="1" xr3:uid="{7E6B8CB6-6FC8-47B7-9B6F-ECDDD4673203}" name="Department"/>
    <tableColumn id="2" xr3:uid="{6239DA7F-5542-4F23-A37F-015107F03BAF}" name="Category"/>
    <tableColumn id="3" xr3:uid="{7E95FB14-F11A-40E7-ADB8-79E5CB861323}" name="Oct"/>
    <tableColumn id="4" xr3:uid="{B9D9DD85-B9AD-413C-82E8-1A831E981FF5}" name="Nov"/>
    <tableColumn id="5" xr3:uid="{F4FFDEE7-5D64-47F6-89BE-CABD76FDB116}" name="Dec"/>
  </tableColumns>
  <tableStyleInfo name="CustomTabl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4"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2"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1" dataCellStyle="Date"/>
    <tableColumn id="2" xr3:uid="{00000000-0010-0000-0A00-000002000000}" name="Salesperson"/>
    <tableColumn id="3" xr3:uid="{00000000-0010-0000-0A00-000003000000}" name="Product"/>
    <tableColumn id="4" xr3:uid="{00000000-0010-0000-0A00-000004000000}" name="Amount" dataDxfId="0"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8.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10.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9.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44744" TargetMode="External"/><Relationship Id="rId7" Type="http://schemas.openxmlformats.org/officeDocument/2006/relationships/table" Target="../tables/table12.xml"/><Relationship Id="rId2" Type="http://schemas.openxmlformats.org/officeDocument/2006/relationships/hyperlink" Target="https://go.microsoft.com/fwlink/?linkid=844749" TargetMode="External"/><Relationship Id="rId1" Type="http://schemas.openxmlformats.org/officeDocument/2006/relationships/pivotTable" Target="../pivotTables/pivotTable1.xml"/><Relationship Id="rId6" Type="http://schemas.openxmlformats.org/officeDocument/2006/relationships/table" Target="../tables/table11.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workbookViewId="0"/>
  </sheetViews>
  <sheetFormatPr defaultColWidth="11.109375" defaultRowHeight="20.25" customHeight="1" x14ac:dyDescent="0.3"/>
  <cols>
    <col min="1" max="1" width="129.6640625" style="17" customWidth="1"/>
    <col min="2" max="2" width="3.5546875" style="17" customWidth="1"/>
    <col min="3" max="16384" width="11.109375" style="17"/>
  </cols>
  <sheetData>
    <row r="1" spans="1:1" ht="15" customHeight="1" x14ac:dyDescent="0.3">
      <c r="A1" s="22" t="s">
        <v>330</v>
      </c>
    </row>
    <row r="2" spans="1:1" ht="100.8" x14ac:dyDescent="2">
      <c r="A2" s="34" t="s">
        <v>63</v>
      </c>
    </row>
    <row r="3" spans="1:1" ht="44.4" x14ac:dyDescent="0.45">
      <c r="A3" s="35" t="s">
        <v>103</v>
      </c>
    </row>
    <row r="4" spans="1:1" ht="264" customHeight="1" x14ac:dyDescent="0.3">
      <c r="A4" s="61" t="s">
        <v>347</v>
      </c>
    </row>
    <row r="5" spans="1:1" ht="20.25" customHeight="1" x14ac:dyDescent="0.45">
      <c r="A5" s="35"/>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topLeftCell="B66" zoomScaleNormal="100" zoomScalePageLayoutView="125" workbookViewId="0">
      <selection activeCell="G4" sqref="G4"/>
    </sheetView>
  </sheetViews>
  <sheetFormatPr defaultColWidth="8.88671875" defaultRowHeight="15" customHeight="1" x14ac:dyDescent="0.3"/>
  <cols>
    <col min="1" max="1" width="12.6640625" style="21" customWidth="1"/>
    <col min="2" max="2" width="82.88671875" style="23" customWidth="1"/>
    <col min="3" max="16384" width="8.88671875" style="23"/>
  </cols>
  <sheetData>
    <row r="1" spans="1:7" ht="60" customHeight="1" x14ac:dyDescent="0.65">
      <c r="A1" s="21" t="s">
        <v>104</v>
      </c>
      <c r="B1" s="30"/>
    </row>
    <row r="2" spans="1:7" ht="15" customHeight="1" x14ac:dyDescent="0.3">
      <c r="A2" s="21" t="s">
        <v>105</v>
      </c>
    </row>
    <row r="3" spans="1:7" ht="15" customHeight="1" x14ac:dyDescent="0.3">
      <c r="A3" s="21" t="s">
        <v>106</v>
      </c>
      <c r="B3" s="31"/>
      <c r="C3" s="37" t="s">
        <v>0</v>
      </c>
      <c r="D3" s="37" t="s">
        <v>1</v>
      </c>
      <c r="F3" s="37" t="s">
        <v>6</v>
      </c>
      <c r="G3" s="37" t="s">
        <v>1</v>
      </c>
    </row>
    <row r="4" spans="1:7" ht="15" customHeight="1" x14ac:dyDescent="0.3">
      <c r="A4" s="21" t="s">
        <v>117</v>
      </c>
      <c r="C4" s="7" t="s">
        <v>2</v>
      </c>
      <c r="D4" s="7">
        <v>50</v>
      </c>
      <c r="F4" s="7" t="s">
        <v>7</v>
      </c>
      <c r="G4" s="7">
        <v>50</v>
      </c>
    </row>
    <row r="5" spans="1:7" s="24" customFormat="1" ht="15" customHeight="1" x14ac:dyDescent="0.3">
      <c r="A5" s="21" t="s">
        <v>264</v>
      </c>
      <c r="C5" s="7" t="s">
        <v>3</v>
      </c>
      <c r="D5" s="7">
        <v>20</v>
      </c>
      <c r="F5" s="7" t="s">
        <v>8</v>
      </c>
      <c r="G5" s="7">
        <v>30</v>
      </c>
    </row>
    <row r="6" spans="1:7" s="24" customFormat="1" ht="15" customHeight="1" x14ac:dyDescent="0.3">
      <c r="A6" s="21" t="s">
        <v>137</v>
      </c>
      <c r="B6" s="32"/>
      <c r="C6" s="7" t="s">
        <v>4</v>
      </c>
      <c r="D6" s="7">
        <v>60</v>
      </c>
      <c r="F6" s="7" t="s">
        <v>9</v>
      </c>
      <c r="G6" s="7">
        <v>10</v>
      </c>
    </row>
    <row r="7" spans="1:7" s="24" customFormat="1" ht="15" customHeight="1" x14ac:dyDescent="0.3">
      <c r="A7" s="21" t="s">
        <v>340</v>
      </c>
      <c r="C7" s="7" t="s">
        <v>5</v>
      </c>
      <c r="D7" s="7">
        <v>40</v>
      </c>
      <c r="F7" s="7" t="s">
        <v>10</v>
      </c>
      <c r="G7" s="7">
        <v>50</v>
      </c>
    </row>
    <row r="8" spans="1:7" s="24" customFormat="1" ht="15" customHeight="1" x14ac:dyDescent="0.3">
      <c r="A8" s="21" t="s">
        <v>275</v>
      </c>
      <c r="D8" s="25">
        <f>SUM(D4:D7)</f>
        <v>170</v>
      </c>
      <c r="G8" s="25">
        <f>SUM(G4:G7)</f>
        <v>140</v>
      </c>
    </row>
    <row r="9" spans="1:7" s="24" customFormat="1" ht="15" customHeight="1" x14ac:dyDescent="0.3">
      <c r="A9" s="21" t="s">
        <v>265</v>
      </c>
    </row>
    <row r="10" spans="1:7" s="24" customFormat="1" ht="15" customHeight="1" x14ac:dyDescent="0.3">
      <c r="A10" s="21" t="s">
        <v>276</v>
      </c>
      <c r="C10" s="37" t="s">
        <v>11</v>
      </c>
      <c r="D10" s="37" t="s">
        <v>1</v>
      </c>
      <c r="F10" s="37" t="s">
        <v>11</v>
      </c>
      <c r="G10" s="37" t="s">
        <v>1</v>
      </c>
    </row>
    <row r="11" spans="1:7" s="24" customFormat="1" ht="15" customHeight="1" x14ac:dyDescent="0.3">
      <c r="A11" s="21" t="s">
        <v>362</v>
      </c>
      <c r="C11" s="7" t="s">
        <v>12</v>
      </c>
      <c r="D11" s="7">
        <v>50</v>
      </c>
      <c r="F11" s="7" t="s">
        <v>12</v>
      </c>
      <c r="G11" s="7">
        <v>50</v>
      </c>
    </row>
    <row r="12" spans="1:7" s="24" customFormat="1" ht="15" customHeight="1" x14ac:dyDescent="0.3">
      <c r="A12" s="21" t="s">
        <v>277</v>
      </c>
      <c r="C12" s="7" t="s">
        <v>13</v>
      </c>
      <c r="D12" s="7">
        <v>100</v>
      </c>
      <c r="F12" s="7" t="s">
        <v>13</v>
      </c>
      <c r="G12" s="7">
        <v>100</v>
      </c>
    </row>
    <row r="13" spans="1:7" s="24" customFormat="1" ht="15" customHeight="1" x14ac:dyDescent="0.3">
      <c r="A13" s="21" t="s">
        <v>118</v>
      </c>
      <c r="C13" s="7" t="s">
        <v>14</v>
      </c>
      <c r="D13" s="7">
        <v>40</v>
      </c>
      <c r="F13" s="7" t="s">
        <v>14</v>
      </c>
      <c r="G13" s="7">
        <v>40</v>
      </c>
    </row>
    <row r="14" spans="1:7" s="24" customFormat="1" ht="15" customHeight="1" x14ac:dyDescent="0.3">
      <c r="A14" s="21"/>
      <c r="C14" s="7" t="s">
        <v>15</v>
      </c>
      <c r="D14" s="7">
        <v>50</v>
      </c>
      <c r="F14" s="7" t="s">
        <v>15</v>
      </c>
      <c r="G14" s="7">
        <v>50</v>
      </c>
    </row>
    <row r="15" spans="1:7" s="24" customFormat="1" ht="15" customHeight="1" thickBot="1" x14ac:dyDescent="0.35">
      <c r="A15" s="21"/>
      <c r="C15" s="7" t="s">
        <v>16</v>
      </c>
      <c r="D15" s="7">
        <v>20</v>
      </c>
      <c r="F15" s="7" t="s">
        <v>16</v>
      </c>
      <c r="G15" s="7">
        <v>20</v>
      </c>
    </row>
    <row r="16" spans="1:7" s="24" customFormat="1" ht="15" customHeight="1" thickTop="1" thickBot="1" x14ac:dyDescent="0.35">
      <c r="A16" s="21"/>
      <c r="D16" s="25">
        <f>SUMIF(D11:D15,"&gt;50")</f>
        <v>100</v>
      </c>
      <c r="G16" s="36">
        <f>SUMIF(G11:G15,"&lt;100")</f>
        <v>160</v>
      </c>
    </row>
    <row r="17" spans="1:1" s="24" customFormat="1" ht="15" customHeight="1" thickTop="1" x14ac:dyDescent="0.3">
      <c r="A17" s="21"/>
    </row>
    <row r="18" spans="1:1" s="24" customFormat="1" ht="15" customHeight="1" x14ac:dyDescent="0.3">
      <c r="A18" s="21"/>
    </row>
    <row r="19" spans="1:1" s="24" customFormat="1" ht="15" customHeight="1" x14ac:dyDescent="0.3">
      <c r="A19" s="21"/>
    </row>
    <row r="20" spans="1:1" s="24" customFormat="1" ht="15" customHeight="1" x14ac:dyDescent="0.3">
      <c r="A20" s="21"/>
    </row>
    <row r="21" spans="1:1" s="24" customFormat="1" ht="15" customHeight="1" x14ac:dyDescent="0.3">
      <c r="A21" s="21"/>
    </row>
    <row r="22" spans="1:1" s="24" customFormat="1" ht="15" customHeight="1" x14ac:dyDescent="0.3">
      <c r="A22" s="21"/>
    </row>
    <row r="23" spans="1:1" s="24" customFormat="1" ht="15" customHeight="1" x14ac:dyDescent="0.3">
      <c r="A23" s="21"/>
    </row>
    <row r="24" spans="1:1" s="24" customFormat="1" ht="15" customHeight="1" x14ac:dyDescent="0.3">
      <c r="A24" s="21"/>
    </row>
    <row r="27" spans="1:1" ht="15" customHeight="1" x14ac:dyDescent="0.3">
      <c r="A27" s="21" t="s">
        <v>107</v>
      </c>
    </row>
    <row r="28" spans="1:1" ht="15" customHeight="1" x14ac:dyDescent="0.3">
      <c r="A28" s="21" t="s">
        <v>108</v>
      </c>
    </row>
    <row r="29" spans="1:1" ht="15" customHeight="1" x14ac:dyDescent="0.3">
      <c r="A29" s="21" t="s">
        <v>266</v>
      </c>
    </row>
    <row r="30" spans="1:1" ht="15" customHeight="1" x14ac:dyDescent="0.3">
      <c r="A30" s="21" t="s">
        <v>267</v>
      </c>
    </row>
    <row r="31" spans="1:1" ht="15" customHeight="1" x14ac:dyDescent="0.3">
      <c r="A31" s="21" t="s">
        <v>268</v>
      </c>
    </row>
    <row r="32" spans="1:1" ht="15" customHeight="1" x14ac:dyDescent="0.3">
      <c r="A32" s="21" t="s">
        <v>109</v>
      </c>
    </row>
    <row r="33" spans="1:7" ht="15" customHeight="1" x14ac:dyDescent="0.3">
      <c r="A33" s="21" t="s">
        <v>331</v>
      </c>
    </row>
    <row r="34" spans="1:7" ht="15" customHeight="1" x14ac:dyDescent="0.3">
      <c r="A34" s="21" t="s">
        <v>269</v>
      </c>
    </row>
    <row r="35" spans="1:7" ht="15" customHeight="1" x14ac:dyDescent="0.3">
      <c r="A35" s="21" t="s">
        <v>270</v>
      </c>
    </row>
    <row r="36" spans="1:7" ht="15" customHeight="1" x14ac:dyDescent="0.3">
      <c r="A36" s="21" t="s">
        <v>363</v>
      </c>
      <c r="F36" s="28"/>
      <c r="G36" s="28"/>
    </row>
    <row r="37" spans="1:7" ht="15" customHeight="1" x14ac:dyDescent="0.3">
      <c r="A37" s="21" t="s">
        <v>271</v>
      </c>
      <c r="C37" s="37" t="s">
        <v>0</v>
      </c>
      <c r="D37" s="37" t="s">
        <v>1</v>
      </c>
      <c r="F37" s="28"/>
      <c r="G37" s="28"/>
    </row>
    <row r="38" spans="1:7" ht="15" customHeight="1" x14ac:dyDescent="0.3">
      <c r="A38" s="21" t="s">
        <v>272</v>
      </c>
      <c r="C38" s="7" t="s">
        <v>2</v>
      </c>
      <c r="D38" s="7">
        <v>50</v>
      </c>
      <c r="E38" s="24"/>
      <c r="F38" s="28"/>
      <c r="G38" s="28"/>
    </row>
    <row r="39" spans="1:7" ht="15" customHeight="1" x14ac:dyDescent="0.3">
      <c r="A39" s="21" t="s">
        <v>110</v>
      </c>
      <c r="C39" s="7" t="s">
        <v>3</v>
      </c>
      <c r="D39" s="7">
        <v>20</v>
      </c>
      <c r="E39" s="24"/>
      <c r="F39" s="28"/>
      <c r="G39" s="28"/>
    </row>
    <row r="40" spans="1:7" ht="15" customHeight="1" x14ac:dyDescent="0.3">
      <c r="A40" s="21" t="s">
        <v>273</v>
      </c>
      <c r="C40" s="7" t="s">
        <v>4</v>
      </c>
      <c r="D40" s="7">
        <v>60</v>
      </c>
      <c r="E40" s="24"/>
      <c r="F40" s="28"/>
      <c r="G40" s="28"/>
    </row>
    <row r="41" spans="1:7" ht="15" customHeight="1" x14ac:dyDescent="0.3">
      <c r="A41" s="21" t="s">
        <v>274</v>
      </c>
      <c r="C41" s="7" t="s">
        <v>5</v>
      </c>
      <c r="D41" s="7">
        <v>40</v>
      </c>
      <c r="E41" s="24"/>
      <c r="F41" s="28"/>
      <c r="G41" s="28"/>
    </row>
    <row r="42" spans="1:7" ht="15" customHeight="1" x14ac:dyDescent="0.3">
      <c r="A42" s="21" t="s">
        <v>135</v>
      </c>
      <c r="C42" s="24"/>
      <c r="D42" s="25">
        <f>SUM(D38:D41)</f>
        <v>170</v>
      </c>
      <c r="E42" s="24"/>
      <c r="F42" s="24"/>
      <c r="G42" s="24"/>
    </row>
    <row r="43" spans="1:7" ht="15" customHeight="1" x14ac:dyDescent="0.3">
      <c r="A43" s="21" t="s">
        <v>119</v>
      </c>
    </row>
    <row r="47" spans="1:7" ht="15" customHeight="1" x14ac:dyDescent="0.3">
      <c r="C47" s="37" t="s">
        <v>11</v>
      </c>
      <c r="D47" s="37" t="s">
        <v>1</v>
      </c>
      <c r="E47" s="24"/>
      <c r="F47" s="37" t="s">
        <v>11</v>
      </c>
      <c r="G47" s="37" t="s">
        <v>1</v>
      </c>
    </row>
    <row r="48" spans="1:7" ht="15" customHeight="1" x14ac:dyDescent="0.3">
      <c r="C48" s="7" t="s">
        <v>17</v>
      </c>
      <c r="D48" s="7">
        <v>20</v>
      </c>
      <c r="E48" s="24"/>
      <c r="F48" s="7" t="s">
        <v>18</v>
      </c>
      <c r="G48" s="7">
        <v>20</v>
      </c>
    </row>
    <row r="49" spans="3:7" ht="15" customHeight="1" x14ac:dyDescent="0.3">
      <c r="C49" s="7"/>
      <c r="D49" s="7"/>
      <c r="E49" s="24"/>
      <c r="F49" s="7" t="s">
        <v>19</v>
      </c>
      <c r="G49" s="7">
        <v>10</v>
      </c>
    </row>
    <row r="50" spans="3:7" ht="15" customHeight="1" x14ac:dyDescent="0.3">
      <c r="C50" s="7"/>
      <c r="D50" s="7"/>
      <c r="E50" s="24"/>
      <c r="F50" s="7" t="s">
        <v>20</v>
      </c>
      <c r="G50" s="7">
        <v>10</v>
      </c>
    </row>
    <row r="51" spans="3:7" ht="15" customHeight="1" x14ac:dyDescent="0.3">
      <c r="C51" s="7"/>
      <c r="D51" s="7"/>
      <c r="E51" s="24"/>
      <c r="F51" s="7" t="s">
        <v>21</v>
      </c>
      <c r="G51" s="7">
        <v>40</v>
      </c>
    </row>
    <row r="53" spans="3:7" ht="15" customHeight="1" x14ac:dyDescent="0.3">
      <c r="E53" s="37" t="s">
        <v>22</v>
      </c>
    </row>
    <row r="54" spans="3:7" ht="15" customHeight="1" x14ac:dyDescent="0.3">
      <c r="E54" s="25">
        <f>SUM(D48,G48:G51,100)</f>
        <v>200</v>
      </c>
    </row>
    <row r="66" spans="1:7" ht="15" customHeight="1" x14ac:dyDescent="0.3">
      <c r="A66" s="21" t="s">
        <v>111</v>
      </c>
    </row>
    <row r="67" spans="1:7" ht="15" customHeight="1" x14ac:dyDescent="0.3">
      <c r="A67" s="21" t="s">
        <v>278</v>
      </c>
    </row>
    <row r="68" spans="1:7" ht="15" customHeight="1" x14ac:dyDescent="0.3">
      <c r="A68" s="21" t="s">
        <v>279</v>
      </c>
    </row>
    <row r="69" spans="1:7" ht="15" customHeight="1" x14ac:dyDescent="0.3">
      <c r="A69" s="21" t="s">
        <v>364</v>
      </c>
    </row>
    <row r="70" spans="1:7" ht="15" customHeight="1" x14ac:dyDescent="0.3">
      <c r="A70" s="21" t="s">
        <v>280</v>
      </c>
    </row>
    <row r="71" spans="1:7" ht="15" customHeight="1" x14ac:dyDescent="0.3">
      <c r="A71" s="21" t="s">
        <v>136</v>
      </c>
    </row>
    <row r="72" spans="1:7" ht="15" customHeight="1" x14ac:dyDescent="0.3">
      <c r="A72" s="21" t="s">
        <v>281</v>
      </c>
      <c r="C72" s="37" t="s">
        <v>11</v>
      </c>
      <c r="D72" s="37" t="s">
        <v>1</v>
      </c>
      <c r="F72" s="37" t="s">
        <v>11</v>
      </c>
      <c r="G72" s="37" t="s">
        <v>1</v>
      </c>
    </row>
    <row r="73" spans="1:7" ht="15" customHeight="1" x14ac:dyDescent="0.3">
      <c r="A73" s="60" t="s">
        <v>365</v>
      </c>
      <c r="C73" s="7" t="s">
        <v>12</v>
      </c>
      <c r="D73" s="7">
        <v>50</v>
      </c>
      <c r="F73" s="7" t="s">
        <v>12</v>
      </c>
      <c r="G73" s="7">
        <v>50</v>
      </c>
    </row>
    <row r="74" spans="1:7" ht="15" customHeight="1" x14ac:dyDescent="0.3">
      <c r="A74" s="21" t="s">
        <v>120</v>
      </c>
      <c r="C74" s="7" t="s">
        <v>13</v>
      </c>
      <c r="D74" s="7">
        <v>100</v>
      </c>
      <c r="F74" s="7" t="s">
        <v>13</v>
      </c>
      <c r="G74" s="7">
        <v>100</v>
      </c>
    </row>
    <row r="75" spans="1:7" ht="15" customHeight="1" x14ac:dyDescent="0.3">
      <c r="C75" s="7" t="s">
        <v>14</v>
      </c>
      <c r="D75" s="7">
        <v>40</v>
      </c>
      <c r="F75" s="7" t="s">
        <v>14</v>
      </c>
      <c r="G75" s="7">
        <v>40</v>
      </c>
    </row>
    <row r="76" spans="1:7" ht="15" customHeight="1" x14ac:dyDescent="0.3">
      <c r="C76" s="7" t="s">
        <v>15</v>
      </c>
      <c r="D76" s="7">
        <v>50</v>
      </c>
      <c r="F76" s="7" t="s">
        <v>15</v>
      </c>
      <c r="G76" s="7">
        <v>50</v>
      </c>
    </row>
    <row r="77" spans="1:7" ht="15" customHeight="1" thickBot="1" x14ac:dyDescent="0.35">
      <c r="C77" s="7" t="s">
        <v>16</v>
      </c>
      <c r="D77" s="7">
        <v>20</v>
      </c>
      <c r="F77" s="7" t="s">
        <v>16</v>
      </c>
      <c r="G77" s="7">
        <v>20</v>
      </c>
    </row>
    <row r="78" spans="1:7" ht="15" customHeight="1" thickTop="1" thickBot="1" x14ac:dyDescent="0.35">
      <c r="D78" s="25">
        <f>SUMIF(D73:D77,"&gt;50")</f>
        <v>100</v>
      </c>
      <c r="F78" s="29"/>
      <c r="G78" s="27">
        <f>SUMIF(G73:G77,"&gt;=50")</f>
        <v>200</v>
      </c>
    </row>
    <row r="79" spans="1:7" ht="15" customHeight="1" thickTop="1" x14ac:dyDescent="0.3"/>
    <row r="82" spans="1:7" ht="15" customHeight="1" x14ac:dyDescent="0.3">
      <c r="C82" s="28"/>
      <c r="D82" s="28"/>
      <c r="E82" s="28"/>
      <c r="F82" s="28"/>
      <c r="G82" s="28"/>
    </row>
    <row r="83" spans="1:7" ht="15" customHeight="1" x14ac:dyDescent="0.3">
      <c r="C83" s="28"/>
      <c r="D83" s="28"/>
      <c r="E83" s="28"/>
      <c r="F83" s="28"/>
      <c r="G83" s="28"/>
    </row>
    <row r="84" spans="1:7" ht="15" customHeight="1" x14ac:dyDescent="0.3">
      <c r="C84" s="28"/>
      <c r="D84" s="28"/>
      <c r="E84" s="28"/>
      <c r="F84" s="28"/>
      <c r="G84" s="28"/>
    </row>
    <row r="85" spans="1:7" ht="15" customHeight="1" x14ac:dyDescent="0.3">
      <c r="C85" s="28"/>
      <c r="D85" s="28"/>
      <c r="E85" s="28"/>
      <c r="F85" s="28"/>
      <c r="G85" s="28"/>
    </row>
    <row r="86" spans="1:7" ht="15" customHeight="1" x14ac:dyDescent="0.3">
      <c r="A86" s="21" t="s">
        <v>113</v>
      </c>
      <c r="C86" s="28"/>
      <c r="D86" s="28"/>
      <c r="E86" s="28"/>
      <c r="F86" s="28"/>
      <c r="G86" s="28"/>
    </row>
    <row r="87" spans="1:7" ht="15" customHeight="1" x14ac:dyDescent="0.3">
      <c r="A87" s="21" t="s">
        <v>114</v>
      </c>
      <c r="C87" s="28"/>
      <c r="D87" s="28"/>
      <c r="E87" s="28"/>
      <c r="F87" s="28"/>
      <c r="G87" s="28"/>
    </row>
    <row r="88" spans="1:7" ht="15" customHeight="1" x14ac:dyDescent="0.3">
      <c r="A88" s="21" t="s">
        <v>115</v>
      </c>
      <c r="C88" s="28"/>
      <c r="D88" s="28"/>
      <c r="E88" s="28"/>
      <c r="F88" s="28"/>
      <c r="G88" s="28"/>
    </row>
    <row r="89" spans="1:7" ht="15" customHeight="1" x14ac:dyDescent="0.3">
      <c r="A89" s="21" t="s">
        <v>116</v>
      </c>
      <c r="C89" s="28"/>
      <c r="D89" s="28"/>
      <c r="E89" s="28"/>
      <c r="F89" s="28"/>
      <c r="G89" s="28"/>
    </row>
    <row r="90" spans="1:7" ht="15" customHeight="1" x14ac:dyDescent="0.3">
      <c r="A90" s="21" t="s">
        <v>358</v>
      </c>
      <c r="C90" s="28"/>
      <c r="D90" s="28"/>
      <c r="E90" s="28"/>
      <c r="F90" s="28"/>
      <c r="G90" s="28"/>
    </row>
    <row r="91" spans="1:7" ht="15" customHeight="1" x14ac:dyDescent="0.3">
      <c r="A91" s="21" t="s">
        <v>112</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zoomScaleNormal="100" zoomScalePageLayoutView="125" workbookViewId="0">
      <selection activeCell="N21" sqref="N21"/>
    </sheetView>
  </sheetViews>
  <sheetFormatPr defaultColWidth="8.88671875" defaultRowHeight="15" customHeight="1" x14ac:dyDescent="0.3"/>
  <cols>
    <col min="1" max="1" width="12.6640625" style="33" customWidth="1"/>
    <col min="2" max="2" width="82.88671875" style="17" customWidth="1"/>
    <col min="3" max="16384" width="8.88671875" style="23"/>
  </cols>
  <sheetData>
    <row r="1" spans="1:9" ht="60" customHeight="1" x14ac:dyDescent="0.3">
      <c r="A1" s="33" t="s">
        <v>121</v>
      </c>
      <c r="C1" s="28"/>
      <c r="D1" s="28"/>
      <c r="E1" s="28"/>
      <c r="F1" s="28"/>
      <c r="G1" s="28"/>
      <c r="H1" s="28"/>
      <c r="I1" s="28"/>
    </row>
    <row r="2" spans="1:9" ht="15" customHeight="1" x14ac:dyDescent="0.3">
      <c r="A2" s="33" t="s">
        <v>138</v>
      </c>
      <c r="C2" s="28"/>
      <c r="D2" s="28"/>
      <c r="E2" s="28"/>
      <c r="F2" s="28"/>
      <c r="G2" s="28"/>
      <c r="H2" s="28"/>
      <c r="I2" s="28"/>
    </row>
    <row r="3" spans="1:9" ht="15" customHeight="1" x14ac:dyDescent="0.3">
      <c r="A3" s="33" t="s">
        <v>282</v>
      </c>
      <c r="C3" s="37" t="s">
        <v>23</v>
      </c>
      <c r="D3" s="37" t="s">
        <v>24</v>
      </c>
      <c r="E3" s="37" t="s">
        <v>25</v>
      </c>
      <c r="F3" s="37" t="s">
        <v>24</v>
      </c>
      <c r="G3" s="37" t="s">
        <v>25</v>
      </c>
      <c r="H3" s="28"/>
      <c r="I3" s="28"/>
    </row>
    <row r="4" spans="1:9" ht="15" customHeight="1" x14ac:dyDescent="0.3">
      <c r="A4" s="33" t="s">
        <v>122</v>
      </c>
      <c r="C4" s="26">
        <v>50</v>
      </c>
      <c r="D4" s="26">
        <v>50</v>
      </c>
      <c r="E4" s="25">
        <f>SUM(C4:D4)</f>
        <v>100</v>
      </c>
      <c r="F4" s="26">
        <v>75</v>
      </c>
      <c r="G4" s="26">
        <f>SUM(E4:F4)</f>
        <v>175</v>
      </c>
      <c r="H4" s="28"/>
      <c r="I4" s="28"/>
    </row>
    <row r="5" spans="1:9" s="24" customFormat="1" ht="15" customHeight="1" x14ac:dyDescent="0.3">
      <c r="A5" s="33" t="s">
        <v>283</v>
      </c>
      <c r="B5" s="17"/>
      <c r="C5" s="26">
        <v>50</v>
      </c>
      <c r="D5" s="26">
        <v>60</v>
      </c>
      <c r="E5" s="25">
        <f t="shared" ref="E5:E7" si="0">SUM(C5:D5)</f>
        <v>110</v>
      </c>
      <c r="F5" s="26">
        <v>75</v>
      </c>
      <c r="G5" s="26">
        <f t="shared" ref="G5:G7" si="1">SUM(E5:F5)</f>
        <v>185</v>
      </c>
      <c r="H5" s="28"/>
      <c r="I5" s="28"/>
    </row>
    <row r="6" spans="1:9" s="24" customFormat="1" ht="15" customHeight="1" x14ac:dyDescent="0.3">
      <c r="A6" s="33" t="s">
        <v>284</v>
      </c>
      <c r="B6" s="17"/>
      <c r="C6" s="26">
        <v>50</v>
      </c>
      <c r="D6" s="26">
        <v>70</v>
      </c>
      <c r="E6" s="25">
        <f t="shared" si="0"/>
        <v>120</v>
      </c>
      <c r="F6" s="26">
        <v>75</v>
      </c>
      <c r="G6" s="26">
        <f t="shared" si="1"/>
        <v>195</v>
      </c>
      <c r="H6" s="28"/>
      <c r="I6" s="28"/>
    </row>
    <row r="7" spans="1:9" s="24" customFormat="1" ht="15" customHeight="1" x14ac:dyDescent="0.3">
      <c r="A7" s="33" t="s">
        <v>285</v>
      </c>
      <c r="B7" s="17"/>
      <c r="C7" s="26">
        <v>50</v>
      </c>
      <c r="D7" s="26">
        <v>80</v>
      </c>
      <c r="E7" s="25">
        <f t="shared" si="0"/>
        <v>130</v>
      </c>
      <c r="F7" s="26">
        <v>75</v>
      </c>
      <c r="G7" s="26">
        <f t="shared" si="1"/>
        <v>205</v>
      </c>
      <c r="H7" s="28"/>
      <c r="I7" s="28"/>
    </row>
    <row r="8" spans="1:9" s="24" customFormat="1" ht="15" customHeight="1" x14ac:dyDescent="0.3">
      <c r="A8" s="33" t="s">
        <v>123</v>
      </c>
      <c r="B8" s="17"/>
      <c r="C8" s="28"/>
      <c r="D8" s="28"/>
      <c r="E8" s="28"/>
      <c r="F8" s="28"/>
      <c r="G8" s="28"/>
      <c r="H8" s="28"/>
      <c r="I8" s="28"/>
    </row>
    <row r="9" spans="1:9" s="24" customFormat="1" ht="15" customHeight="1" x14ac:dyDescent="0.3">
      <c r="A9" s="33" t="s">
        <v>124</v>
      </c>
      <c r="B9" s="17"/>
      <c r="C9" s="28"/>
      <c r="D9" s="28"/>
      <c r="E9" s="28"/>
      <c r="F9" s="28"/>
      <c r="G9" s="28"/>
      <c r="H9" s="28"/>
      <c r="I9" s="28"/>
    </row>
    <row r="10" spans="1:9" s="24" customFormat="1" ht="15" customHeight="1" x14ac:dyDescent="0.3">
      <c r="A10" s="33"/>
      <c r="B10" s="17"/>
      <c r="C10" s="37" t="s">
        <v>23</v>
      </c>
      <c r="D10" s="37" t="s">
        <v>24</v>
      </c>
      <c r="E10" s="37" t="s">
        <v>25</v>
      </c>
      <c r="F10" s="37" t="s">
        <v>24</v>
      </c>
      <c r="G10" s="37" t="s">
        <v>25</v>
      </c>
      <c r="H10" s="28"/>
      <c r="I10" s="28"/>
    </row>
    <row r="11" spans="1:9" s="24" customFormat="1" ht="15" customHeight="1" x14ac:dyDescent="0.3">
      <c r="A11" s="33"/>
      <c r="B11" s="17"/>
      <c r="C11" s="26">
        <v>50</v>
      </c>
      <c r="D11" s="26">
        <v>50</v>
      </c>
      <c r="E11" s="26">
        <f>SUM(C11:D11)</f>
        <v>100</v>
      </c>
      <c r="F11" s="26">
        <v>75</v>
      </c>
      <c r="G11" s="26">
        <f>SUM(E11:F11)</f>
        <v>175</v>
      </c>
      <c r="H11" s="28"/>
      <c r="I11" s="28"/>
    </row>
    <row r="12" spans="1:9" s="24" customFormat="1" ht="15" customHeight="1" x14ac:dyDescent="0.3">
      <c r="A12" s="33"/>
      <c r="B12" s="17"/>
      <c r="C12" s="26">
        <v>50</v>
      </c>
      <c r="D12" s="26">
        <v>60</v>
      </c>
      <c r="E12" s="26">
        <f t="shared" ref="E12:E14" si="2">SUM(C12:D12)</f>
        <v>110</v>
      </c>
      <c r="F12" s="26">
        <v>75</v>
      </c>
      <c r="G12" s="26">
        <f t="shared" ref="G12:G14" si="3">SUM(E12:F12)</f>
        <v>185</v>
      </c>
      <c r="H12" s="28"/>
      <c r="I12" s="28"/>
    </row>
    <row r="13" spans="1:9" s="24" customFormat="1" ht="15" customHeight="1" x14ac:dyDescent="0.3">
      <c r="A13" s="33"/>
      <c r="B13" s="17"/>
      <c r="C13" s="26">
        <v>50</v>
      </c>
      <c r="D13" s="26">
        <v>70</v>
      </c>
      <c r="E13" s="26">
        <f t="shared" si="2"/>
        <v>120</v>
      </c>
      <c r="F13" s="26">
        <v>75</v>
      </c>
      <c r="G13" s="26">
        <f t="shared" si="3"/>
        <v>195</v>
      </c>
      <c r="H13" s="28"/>
      <c r="I13" s="28"/>
    </row>
    <row r="14" spans="1:9" s="24" customFormat="1" ht="15" customHeight="1" x14ac:dyDescent="0.3">
      <c r="A14" s="33"/>
      <c r="B14" s="17"/>
      <c r="C14" s="53">
        <v>50</v>
      </c>
      <c r="D14" s="53">
        <v>80</v>
      </c>
      <c r="E14" s="53">
        <f t="shared" si="2"/>
        <v>130</v>
      </c>
      <c r="F14" s="53">
        <v>75</v>
      </c>
      <c r="G14" s="53">
        <f t="shared" si="3"/>
        <v>205</v>
      </c>
      <c r="H14" s="28"/>
      <c r="I14" s="28"/>
    </row>
    <row r="15" spans="1:9" s="24" customFormat="1" ht="15" customHeight="1" x14ac:dyDescent="0.3">
      <c r="A15" s="33"/>
      <c r="B15" s="17"/>
      <c r="C15" s="25">
        <f>SUM(C11:C14)</f>
        <v>200</v>
      </c>
      <c r="D15" s="25">
        <f t="shared" ref="D15:G15" si="4">SUM(D11:D14)</f>
        <v>260</v>
      </c>
      <c r="E15" s="25">
        <f t="shared" si="4"/>
        <v>460</v>
      </c>
      <c r="F15" s="25">
        <f t="shared" si="4"/>
        <v>300</v>
      </c>
      <c r="G15" s="25">
        <f t="shared" si="4"/>
        <v>760</v>
      </c>
      <c r="H15" s="28"/>
      <c r="I15" s="28"/>
    </row>
    <row r="16" spans="1:9" s="24" customFormat="1" ht="15" customHeight="1" x14ac:dyDescent="0.3">
      <c r="A16" s="33"/>
      <c r="B16" s="17"/>
      <c r="H16" s="28"/>
      <c r="I16" s="28"/>
    </row>
    <row r="17" spans="1:9" s="24" customFormat="1" ht="15" customHeight="1" x14ac:dyDescent="0.3">
      <c r="A17" s="33"/>
      <c r="B17" s="17"/>
      <c r="H17" s="28"/>
      <c r="I17" s="28"/>
    </row>
    <row r="18" spans="1:9" s="24" customFormat="1" ht="15" customHeight="1" x14ac:dyDescent="0.3">
      <c r="A18" s="33"/>
      <c r="B18" s="17"/>
      <c r="C18" s="28"/>
      <c r="D18" s="28"/>
      <c r="E18" s="28"/>
      <c r="F18" s="28"/>
      <c r="G18" s="28"/>
      <c r="H18" s="28"/>
      <c r="I18" s="28"/>
    </row>
    <row r="19" spans="1:9" s="24" customFormat="1" ht="15" customHeight="1" x14ac:dyDescent="0.3">
      <c r="A19" s="33"/>
      <c r="B19" s="17"/>
      <c r="C19" s="28"/>
      <c r="D19" s="28"/>
      <c r="E19" s="28"/>
      <c r="F19" s="28"/>
      <c r="G19" s="28"/>
      <c r="H19" s="28"/>
      <c r="I19" s="28"/>
    </row>
    <row r="20" spans="1:9" s="24" customFormat="1" ht="15" customHeight="1" x14ac:dyDescent="0.3">
      <c r="A20" s="33"/>
      <c r="B20" s="17"/>
      <c r="C20" s="28"/>
      <c r="D20" s="28"/>
      <c r="E20" s="28"/>
      <c r="F20" s="28"/>
      <c r="G20" s="28"/>
      <c r="H20" s="28"/>
      <c r="I20" s="28"/>
    </row>
    <row r="21" spans="1:9" s="24" customFormat="1" ht="15" customHeight="1" x14ac:dyDescent="0.3">
      <c r="A21" s="33"/>
      <c r="B21" s="17"/>
      <c r="C21" s="28"/>
      <c r="D21" s="28"/>
      <c r="E21" s="28"/>
      <c r="F21" s="28"/>
      <c r="G21" s="28"/>
      <c r="H21" s="28"/>
      <c r="I21" s="28"/>
    </row>
    <row r="22" spans="1:9" s="24" customFormat="1" ht="15" customHeight="1" x14ac:dyDescent="0.3">
      <c r="A22" s="33"/>
      <c r="B22" s="17"/>
    </row>
    <row r="23" spans="1:9" s="24" customFormat="1" ht="15" customHeight="1" x14ac:dyDescent="0.3">
      <c r="A23" s="33"/>
      <c r="B23" s="17"/>
    </row>
    <row r="24" spans="1:9" s="24" customFormat="1" ht="15" customHeight="1" x14ac:dyDescent="0.3">
      <c r="A24" s="33"/>
      <c r="B24" s="17"/>
    </row>
    <row r="27" spans="1:9" ht="15" customHeight="1" x14ac:dyDescent="0.3">
      <c r="A27" s="33" t="s">
        <v>125</v>
      </c>
    </row>
    <row r="28" spans="1:9" ht="15" customHeight="1" x14ac:dyDescent="0.3">
      <c r="A28" s="33" t="s">
        <v>126</v>
      </c>
    </row>
    <row r="29" spans="1:9" ht="15" customHeight="1" x14ac:dyDescent="0.3">
      <c r="A29" s="33" t="s">
        <v>286</v>
      </c>
    </row>
    <row r="30" spans="1:9" ht="15" customHeight="1" x14ac:dyDescent="0.3">
      <c r="A30" s="33" t="s">
        <v>287</v>
      </c>
    </row>
    <row r="31" spans="1:9" ht="15" customHeight="1" x14ac:dyDescent="0.3">
      <c r="A31" s="33" t="s">
        <v>139</v>
      </c>
    </row>
    <row r="33" spans="3:9" ht="15" customHeight="1" x14ac:dyDescent="0.3">
      <c r="C33" s="37" t="s">
        <v>34</v>
      </c>
      <c r="D33" s="37" t="s">
        <v>26</v>
      </c>
      <c r="E33" s="37" t="s">
        <v>27</v>
      </c>
      <c r="F33" s="37" t="s">
        <v>33</v>
      </c>
      <c r="G33" s="28"/>
      <c r="H33" s="28"/>
      <c r="I33" s="28"/>
    </row>
    <row r="34" spans="3:9" ht="15" customHeight="1" x14ac:dyDescent="0.3">
      <c r="C34" s="54" t="s">
        <v>28</v>
      </c>
      <c r="D34" s="54" t="s">
        <v>0</v>
      </c>
      <c r="E34" s="26" t="s">
        <v>29</v>
      </c>
      <c r="F34" s="26">
        <v>100</v>
      </c>
      <c r="G34" s="28"/>
      <c r="H34" s="28"/>
      <c r="I34" s="28"/>
    </row>
    <row r="35" spans="3:9" ht="15" customHeight="1" x14ac:dyDescent="0.3">
      <c r="C35" s="54" t="s">
        <v>28</v>
      </c>
      <c r="D35" s="54" t="s">
        <v>0</v>
      </c>
      <c r="E35" s="26" t="s">
        <v>30</v>
      </c>
      <c r="F35" s="26">
        <v>200</v>
      </c>
      <c r="G35" s="28"/>
      <c r="H35" s="28"/>
      <c r="I35" s="28"/>
    </row>
    <row r="36" spans="3:9" ht="15" customHeight="1" x14ac:dyDescent="0.3">
      <c r="C36" s="54" t="s">
        <v>28</v>
      </c>
      <c r="D36" s="54" t="s">
        <v>0</v>
      </c>
      <c r="E36" s="26" t="s">
        <v>31</v>
      </c>
      <c r="F36" s="26">
        <v>50</v>
      </c>
      <c r="G36" s="28"/>
      <c r="H36" s="28"/>
      <c r="I36" s="28"/>
    </row>
    <row r="37" spans="3:9" ht="15" customHeight="1" x14ac:dyDescent="0.3">
      <c r="C37" s="54" t="s">
        <v>28</v>
      </c>
      <c r="D37" s="54" t="s">
        <v>0</v>
      </c>
      <c r="E37" s="26" t="s">
        <v>32</v>
      </c>
      <c r="F37" s="26">
        <v>100</v>
      </c>
      <c r="G37" s="28"/>
      <c r="H37" s="28"/>
      <c r="I37" s="28"/>
    </row>
    <row r="38" spans="3:9" ht="15" customHeight="1" x14ac:dyDescent="0.3">
      <c r="C38" s="28"/>
      <c r="D38" s="28"/>
      <c r="E38" s="28"/>
      <c r="F38" s="28"/>
      <c r="G38" s="28"/>
      <c r="H38" s="28"/>
      <c r="I38" s="28"/>
    </row>
    <row r="39" spans="3:9" ht="15" customHeight="1" x14ac:dyDescent="0.3">
      <c r="C39" s="28"/>
      <c r="D39" s="28"/>
      <c r="E39" s="28"/>
      <c r="F39" s="28"/>
      <c r="G39" s="28"/>
      <c r="H39" s="28"/>
      <c r="I39" s="28"/>
    </row>
    <row r="40" spans="3:9" ht="15" customHeight="1" x14ac:dyDescent="0.3">
      <c r="C40" s="28"/>
      <c r="D40" s="28"/>
      <c r="E40" s="28"/>
      <c r="F40" s="28"/>
      <c r="G40" s="28"/>
      <c r="H40" s="28"/>
      <c r="I40" s="28"/>
    </row>
    <row r="41" spans="3:9" ht="15" customHeight="1" x14ac:dyDescent="0.3">
      <c r="C41" s="28"/>
      <c r="D41" s="28"/>
      <c r="E41" s="28"/>
      <c r="F41" s="28"/>
      <c r="G41" s="28"/>
      <c r="H41" s="28"/>
      <c r="I41" s="28"/>
    </row>
    <row r="42" spans="3:9" ht="15" customHeight="1" x14ac:dyDescent="0.3">
      <c r="C42" s="28"/>
      <c r="D42" s="28"/>
      <c r="E42" s="28"/>
      <c r="F42" s="28"/>
      <c r="G42" s="28"/>
      <c r="H42" s="28"/>
      <c r="I42" s="28"/>
    </row>
    <row r="43" spans="3:9" ht="15" customHeight="1" x14ac:dyDescent="0.3">
      <c r="C43" s="28"/>
      <c r="D43" s="28"/>
      <c r="E43" s="28"/>
      <c r="F43" s="28"/>
      <c r="G43" s="28"/>
      <c r="H43" s="28"/>
      <c r="I43" s="28"/>
    </row>
    <row r="44" spans="3:9" ht="15" customHeight="1" x14ac:dyDescent="0.3">
      <c r="C44" s="28"/>
      <c r="D44" s="28"/>
      <c r="E44" s="28"/>
      <c r="F44" s="28"/>
      <c r="G44" s="28"/>
      <c r="H44" s="28"/>
      <c r="I44" s="28"/>
    </row>
    <row r="45" spans="3:9" ht="15" customHeight="1" x14ac:dyDescent="0.3">
      <c r="C45" s="28"/>
      <c r="D45" s="28"/>
      <c r="E45" s="28"/>
      <c r="F45" s="28"/>
      <c r="G45" s="28"/>
      <c r="H45" s="28"/>
      <c r="I45" s="28"/>
    </row>
    <row r="46" spans="3:9" ht="15" customHeight="1" thickBot="1" x14ac:dyDescent="0.35">
      <c r="C46" s="37"/>
      <c r="D46" s="37" t="s">
        <v>35</v>
      </c>
      <c r="E46" s="37" t="s">
        <v>375</v>
      </c>
      <c r="F46" s="37" t="s">
        <v>376</v>
      </c>
      <c r="G46" s="28"/>
      <c r="H46" s="28"/>
      <c r="I46" s="28"/>
    </row>
    <row r="47" spans="3:9" ht="15" customHeight="1" thickTop="1" thickBot="1" x14ac:dyDescent="0.35">
      <c r="C47" s="54" t="s">
        <v>36</v>
      </c>
      <c r="D47" s="26">
        <v>35</v>
      </c>
      <c r="E47" s="26">
        <v>44</v>
      </c>
      <c r="F47" s="26">
        <v>79</v>
      </c>
      <c r="G47" s="28"/>
      <c r="H47" s="36" t="s">
        <v>61</v>
      </c>
      <c r="I47" s="28"/>
    </row>
    <row r="48" spans="3:9" ht="15" customHeight="1" thickTop="1" thickBot="1" x14ac:dyDescent="0.35">
      <c r="C48" s="54" t="s">
        <v>372</v>
      </c>
      <c r="D48" s="26">
        <v>74</v>
      </c>
      <c r="E48" s="26">
        <v>64</v>
      </c>
      <c r="F48" s="26">
        <v>56</v>
      </c>
      <c r="G48" s="28"/>
      <c r="H48" s="36" t="s">
        <v>377</v>
      </c>
      <c r="I48" s="28"/>
    </row>
    <row r="49" spans="1:9" ht="15" customHeight="1" thickTop="1" thickBot="1" x14ac:dyDescent="0.35">
      <c r="C49" s="54" t="s">
        <v>373</v>
      </c>
      <c r="D49" s="26">
        <v>82</v>
      </c>
      <c r="E49" s="26">
        <v>50</v>
      </c>
      <c r="F49" s="26">
        <v>83</v>
      </c>
      <c r="G49" s="28"/>
      <c r="H49" s="36" t="s">
        <v>378</v>
      </c>
      <c r="I49" s="28"/>
    </row>
    <row r="50" spans="1:9" ht="15" customHeight="1" thickTop="1" thickBot="1" x14ac:dyDescent="0.35">
      <c r="C50" s="54" t="s">
        <v>374</v>
      </c>
      <c r="D50" s="26">
        <v>90</v>
      </c>
      <c r="E50" s="26">
        <v>22</v>
      </c>
      <c r="F50" s="26">
        <v>89</v>
      </c>
      <c r="G50" s="28"/>
      <c r="H50" s="36" t="s">
        <v>379</v>
      </c>
      <c r="I50" s="28"/>
    </row>
    <row r="51" spans="1:9" ht="15" customHeight="1" thickTop="1" x14ac:dyDescent="0.3">
      <c r="C51" s="28"/>
      <c r="D51" s="28"/>
      <c r="E51" s="28"/>
      <c r="F51" s="28"/>
      <c r="G51" s="28"/>
      <c r="H51" s="28"/>
      <c r="I51" s="28"/>
    </row>
    <row r="52" spans="1:9" ht="15" customHeight="1" x14ac:dyDescent="0.3">
      <c r="C52" s="28"/>
      <c r="D52" s="28"/>
      <c r="E52" s="28"/>
      <c r="F52" s="28"/>
      <c r="G52" s="28"/>
      <c r="H52" s="28"/>
      <c r="I52" s="28"/>
    </row>
    <row r="53" spans="1:9" ht="15" customHeight="1" x14ac:dyDescent="0.3">
      <c r="C53" s="28"/>
      <c r="D53" s="28"/>
      <c r="E53" s="28"/>
      <c r="F53" s="28"/>
      <c r="G53" s="28"/>
      <c r="H53" s="28"/>
      <c r="I53" s="28"/>
    </row>
    <row r="54" spans="1:9" ht="15" customHeight="1" x14ac:dyDescent="0.3">
      <c r="C54" s="28"/>
      <c r="D54" s="28"/>
      <c r="E54" s="28"/>
      <c r="F54" s="28"/>
      <c r="G54" s="28"/>
      <c r="H54" s="28"/>
      <c r="I54" s="28"/>
    </row>
    <row r="55" spans="1:9" ht="15" customHeight="1" x14ac:dyDescent="0.3">
      <c r="C55" s="28"/>
      <c r="D55" s="28"/>
      <c r="E55" s="28"/>
      <c r="F55" s="28"/>
      <c r="G55" s="28"/>
      <c r="H55" s="28"/>
      <c r="I55" s="28"/>
    </row>
    <row r="56" spans="1:9" ht="15" customHeight="1" x14ac:dyDescent="0.3">
      <c r="C56" s="28"/>
      <c r="D56" s="28"/>
      <c r="E56" s="28"/>
      <c r="F56" s="28"/>
      <c r="G56" s="28"/>
      <c r="H56" s="28"/>
      <c r="I56" s="28"/>
    </row>
    <row r="57" spans="1:9" ht="15" customHeight="1" x14ac:dyDescent="0.3">
      <c r="C57" s="28"/>
      <c r="D57" s="28"/>
      <c r="E57" s="28"/>
      <c r="F57" s="28"/>
      <c r="G57" s="28"/>
      <c r="H57" s="28"/>
      <c r="I57" s="28"/>
    </row>
    <row r="60" spans="1:9" ht="15" customHeight="1" x14ac:dyDescent="0.3">
      <c r="C60" s="37" t="s">
        <v>37</v>
      </c>
      <c r="D60" s="37"/>
      <c r="E60" s="37"/>
      <c r="F60" s="37"/>
      <c r="G60" s="37"/>
      <c r="H60" s="37"/>
    </row>
    <row r="61" spans="1:9" ht="15" customHeight="1" x14ac:dyDescent="0.3">
      <c r="C61" s="54">
        <v>15</v>
      </c>
      <c r="D61" s="54">
        <v>30</v>
      </c>
      <c r="E61" s="54">
        <v>45</v>
      </c>
      <c r="F61" s="54">
        <v>60</v>
      </c>
      <c r="G61" s="54">
        <v>75</v>
      </c>
      <c r="H61" s="54">
        <v>90</v>
      </c>
    </row>
    <row r="64" spans="1:9" ht="15" customHeight="1" x14ac:dyDescent="0.3">
      <c r="A64" s="33" t="s">
        <v>113</v>
      </c>
    </row>
    <row r="65" spans="1:1" ht="15" customHeight="1" x14ac:dyDescent="0.3">
      <c r="A65" s="21" t="s">
        <v>140</v>
      </c>
    </row>
    <row r="66" spans="1:1" ht="15" customHeight="1" x14ac:dyDescent="0.3">
      <c r="A66" s="21" t="s">
        <v>141</v>
      </c>
    </row>
    <row r="67" spans="1:1" ht="15" customHeight="1" x14ac:dyDescent="0.3">
      <c r="A67" s="33" t="s">
        <v>112</v>
      </c>
    </row>
  </sheetData>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topLeftCell="A52" zoomScaleNormal="100" zoomScalePageLayoutView="125" workbookViewId="0">
      <selection activeCell="F36" sqref="F36"/>
    </sheetView>
  </sheetViews>
  <sheetFormatPr defaultColWidth="8.88671875" defaultRowHeight="15" customHeight="1" x14ac:dyDescent="0.3"/>
  <cols>
    <col min="1" max="1" width="12.6640625" style="21" customWidth="1"/>
    <col min="2" max="2" width="82.88671875" style="17" customWidth="1"/>
    <col min="3" max="3" width="33.88671875" style="1" customWidth="1"/>
    <col min="4" max="4" width="10.33203125" style="1" customWidth="1"/>
    <col min="5" max="5" width="9.88671875" style="1" customWidth="1"/>
    <col min="6" max="7" width="15.5546875" style="15" customWidth="1"/>
    <col min="8" max="8" width="9.88671875" style="1" customWidth="1"/>
    <col min="9" max="16384" width="8.88671875" style="1"/>
  </cols>
  <sheetData>
    <row r="1" spans="1:8" ht="60" customHeight="1" x14ac:dyDescent="0.3">
      <c r="A1" s="21" t="s">
        <v>127</v>
      </c>
      <c r="C1"/>
      <c r="D1"/>
      <c r="E1"/>
      <c r="F1" s="13"/>
      <c r="G1" s="13"/>
      <c r="H1"/>
    </row>
    <row r="2" spans="1:8" ht="15" customHeight="1" x14ac:dyDescent="0.3">
      <c r="A2" s="21" t="s">
        <v>341</v>
      </c>
      <c r="C2"/>
      <c r="D2"/>
      <c r="E2"/>
      <c r="F2" s="13"/>
      <c r="G2" s="13"/>
      <c r="H2"/>
    </row>
    <row r="3" spans="1:8" ht="15" customHeight="1" x14ac:dyDescent="0.3">
      <c r="A3" s="21" t="s">
        <v>342</v>
      </c>
      <c r="C3"/>
      <c r="D3"/>
      <c r="E3"/>
      <c r="F3" s="13"/>
      <c r="G3" s="13"/>
      <c r="H3"/>
    </row>
    <row r="4" spans="1:8" ht="15" customHeight="1" x14ac:dyDescent="0.3">
      <c r="A4" s="21" t="s">
        <v>142</v>
      </c>
      <c r="C4" s="37" t="s">
        <v>38</v>
      </c>
      <c r="D4" s="37" t="s">
        <v>39</v>
      </c>
      <c r="E4" s="37" t="s">
        <v>40</v>
      </c>
      <c r="F4" s="13"/>
      <c r="G4" s="13"/>
      <c r="H4"/>
    </row>
    <row r="5" spans="1:8" s="4" customFormat="1" ht="15" customHeight="1" x14ac:dyDescent="0.3">
      <c r="A5" s="21" t="s">
        <v>143</v>
      </c>
      <c r="B5" s="17"/>
      <c r="C5" s="41" t="s">
        <v>88</v>
      </c>
      <c r="D5" s="11" t="s">
        <v>380</v>
      </c>
      <c r="E5" s="42" t="s">
        <v>41</v>
      </c>
      <c r="F5" s="13"/>
      <c r="G5" s="13"/>
      <c r="H5"/>
    </row>
    <row r="6" spans="1:8" s="4" customFormat="1" ht="15" customHeight="1" x14ac:dyDescent="0.3">
      <c r="A6" s="21" t="s">
        <v>288</v>
      </c>
      <c r="B6" s="17"/>
      <c r="C6" s="41" t="s">
        <v>95</v>
      </c>
      <c r="D6" s="12" t="s">
        <v>381</v>
      </c>
      <c r="E6" s="42" t="s">
        <v>383</v>
      </c>
      <c r="F6" s="13"/>
      <c r="G6" s="13"/>
      <c r="H6"/>
    </row>
    <row r="7" spans="1:8" s="4" customFormat="1" ht="15" customHeight="1" x14ac:dyDescent="0.3">
      <c r="A7" s="21" t="s">
        <v>124</v>
      </c>
      <c r="B7" s="17"/>
      <c r="C7" s="41" t="s">
        <v>90</v>
      </c>
      <c r="D7" s="12" t="s">
        <v>35</v>
      </c>
      <c r="E7" s="42" t="s">
        <v>384</v>
      </c>
      <c r="F7" s="13"/>
      <c r="G7" s="13"/>
      <c r="H7"/>
    </row>
    <row r="8" spans="1:8" s="4" customFormat="1" ht="15" customHeight="1" x14ac:dyDescent="0.3">
      <c r="A8" s="21"/>
      <c r="B8" s="17"/>
      <c r="C8" s="41" t="s">
        <v>89</v>
      </c>
      <c r="D8" s="12" t="s">
        <v>66</v>
      </c>
      <c r="E8" s="42" t="s">
        <v>385</v>
      </c>
      <c r="F8" s="13"/>
      <c r="G8" s="13"/>
      <c r="H8"/>
    </row>
    <row r="9" spans="1:8" s="4" customFormat="1" ht="15" customHeight="1" x14ac:dyDescent="0.3">
      <c r="A9" s="21"/>
      <c r="B9" s="17"/>
      <c r="C9" s="43" t="s">
        <v>100</v>
      </c>
      <c r="D9" s="56" t="s">
        <v>382</v>
      </c>
      <c r="E9" s="57" t="s">
        <v>386</v>
      </c>
      <c r="F9" s="13"/>
      <c r="G9" s="13"/>
      <c r="H9"/>
    </row>
    <row r="10" spans="1:8" s="4" customFormat="1" ht="15" customHeight="1" x14ac:dyDescent="0.3">
      <c r="A10" s="21"/>
      <c r="B10" s="17"/>
      <c r="C10"/>
      <c r="D10"/>
      <c r="E10"/>
      <c r="F10" s="13"/>
      <c r="G10" s="13"/>
      <c r="H10"/>
    </row>
    <row r="11" spans="1:8" s="4" customFormat="1" ht="15" customHeight="1" x14ac:dyDescent="0.3">
      <c r="A11" s="21"/>
      <c r="B11" s="17"/>
      <c r="C11"/>
      <c r="D11"/>
      <c r="E11"/>
      <c r="F11" s="13"/>
      <c r="G11" s="13"/>
      <c r="H11"/>
    </row>
    <row r="12" spans="1:8" s="4" customFormat="1" ht="15" customHeight="1" x14ac:dyDescent="0.3">
      <c r="A12" s="21"/>
      <c r="B12" s="17"/>
      <c r="C12"/>
      <c r="D12"/>
      <c r="E12"/>
      <c r="F12" s="13"/>
      <c r="G12" s="13"/>
      <c r="H12"/>
    </row>
    <row r="13" spans="1:8" s="4" customFormat="1" ht="15" customHeight="1" x14ac:dyDescent="0.3">
      <c r="A13" s="21"/>
      <c r="B13" s="17"/>
      <c r="C13"/>
      <c r="D13"/>
      <c r="E13"/>
      <c r="F13" s="13"/>
      <c r="G13" s="13"/>
      <c r="H13"/>
    </row>
    <row r="14" spans="1:8" s="4" customFormat="1" ht="15" customHeight="1" x14ac:dyDescent="0.3">
      <c r="A14" s="21"/>
      <c r="B14" s="17"/>
      <c r="C14"/>
      <c r="D14"/>
      <c r="E14"/>
      <c r="F14" s="13"/>
      <c r="G14" s="13"/>
      <c r="H14"/>
    </row>
    <row r="15" spans="1:8" s="4" customFormat="1" ht="15" customHeight="1" x14ac:dyDescent="0.3">
      <c r="A15" s="21"/>
      <c r="B15" s="17"/>
      <c r="C15"/>
      <c r="D15"/>
      <c r="E15"/>
      <c r="F15" s="13"/>
      <c r="G15" s="13"/>
      <c r="H15"/>
    </row>
    <row r="16" spans="1:8" s="4" customFormat="1" ht="15" customHeight="1" x14ac:dyDescent="0.3">
      <c r="A16" s="21"/>
      <c r="B16" s="17"/>
      <c r="C16"/>
      <c r="D16"/>
      <c r="E16"/>
      <c r="F16" s="13"/>
      <c r="G16" s="13"/>
      <c r="H16"/>
    </row>
    <row r="17" spans="1:8" s="4" customFormat="1" ht="15" customHeight="1" x14ac:dyDescent="0.3">
      <c r="A17" s="21"/>
      <c r="B17" s="17"/>
      <c r="C17"/>
      <c r="D17"/>
      <c r="E17"/>
      <c r="F17" s="13"/>
      <c r="G17" s="13"/>
      <c r="H17"/>
    </row>
    <row r="18" spans="1:8" s="4" customFormat="1" ht="15" customHeight="1" x14ac:dyDescent="0.3">
      <c r="A18" s="21"/>
      <c r="B18" s="17"/>
      <c r="C18"/>
      <c r="D18"/>
      <c r="E18"/>
      <c r="F18" s="13"/>
      <c r="G18" s="13"/>
      <c r="H18"/>
    </row>
    <row r="19" spans="1:8" s="4" customFormat="1" ht="15" customHeight="1" x14ac:dyDescent="0.3">
      <c r="A19" s="21"/>
      <c r="B19" s="17"/>
      <c r="C19"/>
      <c r="D19"/>
      <c r="E19"/>
      <c r="F19" s="13"/>
      <c r="G19" s="13"/>
      <c r="H19"/>
    </row>
    <row r="20" spans="1:8" s="4" customFormat="1" ht="15" customHeight="1" x14ac:dyDescent="0.3">
      <c r="A20" s="21"/>
      <c r="B20" s="17"/>
      <c r="C20"/>
      <c r="D20"/>
      <c r="E20"/>
      <c r="F20" s="13"/>
      <c r="G20" s="13"/>
      <c r="H20"/>
    </row>
    <row r="21" spans="1:8" s="4" customFormat="1" ht="15" customHeight="1" x14ac:dyDescent="0.3">
      <c r="A21" s="21"/>
      <c r="B21" s="17"/>
      <c r="C21"/>
      <c r="D21"/>
      <c r="E21"/>
      <c r="F21" s="13"/>
      <c r="G21" s="13"/>
      <c r="H21"/>
    </row>
    <row r="22" spans="1:8" s="4" customFormat="1" ht="15" customHeight="1" x14ac:dyDescent="0.3">
      <c r="A22" s="21"/>
      <c r="B22" s="17"/>
      <c r="F22" s="14"/>
      <c r="G22" s="14"/>
    </row>
    <row r="23" spans="1:8" s="4" customFormat="1" ht="15" customHeight="1" x14ac:dyDescent="0.3">
      <c r="A23" s="21"/>
      <c r="B23" s="17"/>
      <c r="F23" s="14"/>
      <c r="G23" s="14"/>
    </row>
    <row r="24" spans="1:8" s="4" customFormat="1" ht="15" customHeight="1" x14ac:dyDescent="0.3">
      <c r="A24" s="21"/>
      <c r="B24" s="17"/>
      <c r="F24" s="14"/>
      <c r="G24" s="14"/>
    </row>
    <row r="27" spans="1:8" ht="15" customHeight="1" x14ac:dyDescent="0.3">
      <c r="A27" s="21" t="s">
        <v>144</v>
      </c>
    </row>
    <row r="28" spans="1:8" ht="15" customHeight="1" x14ac:dyDescent="0.3">
      <c r="A28" s="21" t="s">
        <v>145</v>
      </c>
    </row>
    <row r="29" spans="1:8" ht="15" customHeight="1" x14ac:dyDescent="0.3">
      <c r="A29" s="21" t="s">
        <v>289</v>
      </c>
    </row>
    <row r="30" spans="1:8" ht="15" customHeight="1" x14ac:dyDescent="0.3">
      <c r="A30" s="21" t="s">
        <v>290</v>
      </c>
      <c r="C30"/>
      <c r="D30"/>
      <c r="E30"/>
      <c r="F30" s="13"/>
    </row>
    <row r="31" spans="1:8" ht="15" customHeight="1" x14ac:dyDescent="0.3">
      <c r="A31" s="21" t="s">
        <v>291</v>
      </c>
      <c r="C31" s="37" t="s">
        <v>42</v>
      </c>
      <c r="D31" s="37" t="s">
        <v>39</v>
      </c>
      <c r="E31" s="37" t="s">
        <v>40</v>
      </c>
      <c r="F31" s="58" t="s">
        <v>99</v>
      </c>
    </row>
    <row r="32" spans="1:8" ht="15" customHeight="1" x14ac:dyDescent="0.3">
      <c r="A32" s="21" t="s">
        <v>292</v>
      </c>
      <c r="C32" s="9" t="s">
        <v>91</v>
      </c>
      <c r="D32" t="s">
        <v>380</v>
      </c>
      <c r="E32" t="s">
        <v>41</v>
      </c>
      <c r="F32" t="s">
        <v>387</v>
      </c>
      <c r="G32"/>
    </row>
    <row r="33" spans="1:8" ht="15" customHeight="1" x14ac:dyDescent="0.3">
      <c r="A33" s="21" t="s">
        <v>293</v>
      </c>
      <c r="C33" s="9" t="s">
        <v>92</v>
      </c>
      <c r="D33" t="s">
        <v>381</v>
      </c>
      <c r="E33" t="s">
        <v>383</v>
      </c>
      <c r="F33" t="s">
        <v>388</v>
      </c>
      <c r="G33"/>
      <c r="H33"/>
    </row>
    <row r="34" spans="1:8" ht="15" customHeight="1" x14ac:dyDescent="0.3">
      <c r="A34" s="21" t="s">
        <v>294</v>
      </c>
      <c r="C34" s="9" t="s">
        <v>93</v>
      </c>
      <c r="D34" t="s">
        <v>35</v>
      </c>
      <c r="E34" t="s">
        <v>384</v>
      </c>
      <c r="F34" t="s">
        <v>389</v>
      </c>
      <c r="G34"/>
      <c r="H34"/>
    </row>
    <row r="35" spans="1:8" ht="15" customHeight="1" x14ac:dyDescent="0.3">
      <c r="A35" s="21" t="s">
        <v>146</v>
      </c>
      <c r="C35" s="9" t="s">
        <v>94</v>
      </c>
      <c r="D35" t="s">
        <v>66</v>
      </c>
      <c r="E35" t="s">
        <v>385</v>
      </c>
      <c r="F35" t="s">
        <v>387</v>
      </c>
      <c r="G35"/>
      <c r="H35"/>
    </row>
    <row r="36" spans="1:8" ht="15" customHeight="1" x14ac:dyDescent="0.3">
      <c r="C36" s="9" t="s">
        <v>96</v>
      </c>
      <c r="D36" t="s">
        <v>390</v>
      </c>
      <c r="E36" t="s">
        <v>391</v>
      </c>
      <c r="F36" t="s">
        <v>389</v>
      </c>
      <c r="G36"/>
      <c r="H36"/>
    </row>
    <row r="37" spans="1:8" ht="15" customHeight="1" x14ac:dyDescent="0.3">
      <c r="C37" s="9" t="s">
        <v>97</v>
      </c>
      <c r="D37" t="s">
        <v>392</v>
      </c>
      <c r="E37" t="s">
        <v>393</v>
      </c>
      <c r="F37" t="s">
        <v>388</v>
      </c>
      <c r="G37"/>
      <c r="H37"/>
    </row>
    <row r="38" spans="1:8" ht="15" customHeight="1" x14ac:dyDescent="0.3">
      <c r="C38" s="9" t="s">
        <v>98</v>
      </c>
      <c r="D38" t="s">
        <v>394</v>
      </c>
      <c r="E38" t="s">
        <v>395</v>
      </c>
      <c r="F38" t="s">
        <v>389</v>
      </c>
      <c r="G38"/>
      <c r="H38"/>
    </row>
    <row r="39" spans="1:8" ht="15" customHeight="1" x14ac:dyDescent="0.3">
      <c r="C39" s="39" t="s">
        <v>102</v>
      </c>
      <c r="D39" s="40" t="s">
        <v>382</v>
      </c>
      <c r="E39" s="40" t="s">
        <v>386</v>
      </c>
      <c r="F39" s="40" t="s">
        <v>387</v>
      </c>
      <c r="G39"/>
      <c r="H39"/>
    </row>
    <row r="40" spans="1:8" ht="15" customHeight="1" x14ac:dyDescent="0.3">
      <c r="C40" s="16"/>
      <c r="D40" s="16"/>
      <c r="E40" s="16"/>
      <c r="F40" s="16"/>
      <c r="G40" s="13"/>
      <c r="H40"/>
    </row>
    <row r="41" spans="1:8" ht="15" customHeight="1" x14ac:dyDescent="0.3">
      <c r="C41"/>
      <c r="D41"/>
      <c r="E41"/>
      <c r="F41" s="13"/>
      <c r="G41" s="13"/>
      <c r="H41"/>
    </row>
    <row r="42" spans="1:8" ht="15" customHeight="1" x14ac:dyDescent="0.3">
      <c r="C42"/>
      <c r="D42"/>
      <c r="E42"/>
      <c r="F42" s="13"/>
      <c r="G42" s="13"/>
      <c r="H42"/>
    </row>
    <row r="43" spans="1:8" ht="15" customHeight="1" x14ac:dyDescent="0.3">
      <c r="C43"/>
      <c r="D43"/>
      <c r="E43"/>
      <c r="F43" s="13"/>
      <c r="G43"/>
      <c r="H43"/>
    </row>
    <row r="44" spans="1:8" ht="15" customHeight="1" x14ac:dyDescent="0.3">
      <c r="C44"/>
      <c r="D44"/>
      <c r="E44"/>
      <c r="F44" s="13"/>
      <c r="G44"/>
      <c r="H44"/>
    </row>
    <row r="45" spans="1:8" ht="15" customHeight="1" x14ac:dyDescent="0.3">
      <c r="C45"/>
      <c r="D45"/>
      <c r="E45"/>
      <c r="F45" s="13"/>
      <c r="G45"/>
      <c r="H45"/>
    </row>
    <row r="46" spans="1:8" ht="15" customHeight="1" x14ac:dyDescent="0.3">
      <c r="C46"/>
      <c r="D46"/>
      <c r="E46"/>
      <c r="F46" s="13"/>
      <c r="G46"/>
      <c r="H46"/>
    </row>
    <row r="47" spans="1:8" ht="15" customHeight="1" x14ac:dyDescent="0.3">
      <c r="C47"/>
      <c r="D47"/>
      <c r="E47"/>
      <c r="F47" s="13"/>
      <c r="G47"/>
      <c r="H47"/>
    </row>
    <row r="48" spans="1:8" ht="15" customHeight="1" x14ac:dyDescent="0.3">
      <c r="C48"/>
      <c r="D48"/>
      <c r="E48"/>
      <c r="F48" s="13"/>
      <c r="G48"/>
      <c r="H48"/>
    </row>
    <row r="49" spans="1:8" ht="15" customHeight="1" x14ac:dyDescent="0.3">
      <c r="A49" s="21" t="s">
        <v>147</v>
      </c>
      <c r="C49"/>
      <c r="D49"/>
      <c r="E49"/>
      <c r="F49" s="13"/>
      <c r="G49"/>
      <c r="H49"/>
    </row>
    <row r="50" spans="1:8" ht="15" customHeight="1" x14ac:dyDescent="0.3">
      <c r="A50" s="21" t="s">
        <v>148</v>
      </c>
      <c r="C50"/>
      <c r="D50"/>
      <c r="E50"/>
      <c r="F50" s="13"/>
      <c r="G50"/>
      <c r="H50"/>
    </row>
    <row r="51" spans="1:8" ht="15" customHeight="1" x14ac:dyDescent="0.3">
      <c r="A51" s="21" t="s">
        <v>366</v>
      </c>
      <c r="C51"/>
      <c r="D51"/>
      <c r="E51"/>
      <c r="F51" s="13"/>
      <c r="G51"/>
      <c r="H51"/>
    </row>
    <row r="52" spans="1:8" ht="15" customHeight="1" x14ac:dyDescent="0.3">
      <c r="A52" s="21" t="s">
        <v>154</v>
      </c>
      <c r="C52"/>
      <c r="D52"/>
      <c r="E52"/>
      <c r="F52" s="13"/>
      <c r="G52"/>
      <c r="H52"/>
    </row>
    <row r="53" spans="1:8" ht="15" customHeight="1" x14ac:dyDescent="0.3">
      <c r="A53" s="21" t="s">
        <v>149</v>
      </c>
      <c r="C53"/>
      <c r="D53"/>
      <c r="E53"/>
      <c r="F53" s="13"/>
      <c r="G53"/>
      <c r="H53"/>
    </row>
    <row r="54" spans="1:8" ht="15" customHeight="1" x14ac:dyDescent="0.3">
      <c r="A54" s="21" t="s">
        <v>150</v>
      </c>
      <c r="C54"/>
      <c r="D54"/>
      <c r="E54"/>
      <c r="F54" s="13"/>
      <c r="G54"/>
      <c r="H54"/>
    </row>
    <row r="55" spans="1:8" ht="15" customHeight="1" x14ac:dyDescent="0.3">
      <c r="A55" s="21" t="s">
        <v>151</v>
      </c>
      <c r="C55" s="37" t="s">
        <v>62</v>
      </c>
      <c r="E55" s="37" t="s">
        <v>39</v>
      </c>
      <c r="F55" s="58" t="s">
        <v>43</v>
      </c>
      <c r="G55" s="37" t="s">
        <v>101</v>
      </c>
      <c r="H55" s="37" t="s">
        <v>40</v>
      </c>
    </row>
    <row r="56" spans="1:8" ht="15" customHeight="1" x14ac:dyDescent="0.3">
      <c r="A56" s="21" t="s">
        <v>152</v>
      </c>
      <c r="C56" s="7" t="s">
        <v>44</v>
      </c>
      <c r="E56" s="8" t="str">
        <f>LEFT(C56,FIND(" ",C56)-1)</f>
        <v>Yvonne</v>
      </c>
      <c r="F56" s="8" t="str">
        <f>RIGHT(C56,LEN(C56)-FIND(" ",C56))</f>
        <v>Francis McKay</v>
      </c>
      <c r="G56" s="8" t="str">
        <f>LEFT(F56,FIND(" ",F56)-1)</f>
        <v>Francis</v>
      </c>
      <c r="H56" s="8" t="str">
        <f>RIGHT(F56,LEN(F56)-FIND(" ",F56))</f>
        <v>McKay</v>
      </c>
    </row>
    <row r="57" spans="1:8" ht="15" customHeight="1" x14ac:dyDescent="0.3">
      <c r="A57" s="21" t="s">
        <v>367</v>
      </c>
      <c r="C57"/>
      <c r="D57"/>
      <c r="E57"/>
      <c r="F57" s="13"/>
      <c r="G57"/>
      <c r="H57"/>
    </row>
    <row r="58" spans="1:8" ht="15" customHeight="1" x14ac:dyDescent="0.3">
      <c r="A58" s="21" t="s">
        <v>153</v>
      </c>
      <c r="C58"/>
      <c r="D58"/>
      <c r="E58"/>
      <c r="F58" s="13"/>
      <c r="G58"/>
      <c r="H58"/>
    </row>
    <row r="59" spans="1:8" ht="15" customHeight="1" x14ac:dyDescent="0.3">
      <c r="A59" s="21" t="s">
        <v>155</v>
      </c>
      <c r="D59"/>
      <c r="E59"/>
      <c r="F59" s="13"/>
      <c r="G59"/>
      <c r="H59"/>
    </row>
    <row r="60" spans="1:8" ht="15" customHeight="1" x14ac:dyDescent="0.3">
      <c r="A60" s="21" t="s">
        <v>156</v>
      </c>
      <c r="D60"/>
      <c r="E60"/>
      <c r="F60" s="13"/>
      <c r="G60"/>
      <c r="H60"/>
    </row>
    <row r="61" spans="1:8" ht="15" customHeight="1" x14ac:dyDescent="0.3">
      <c r="A61" s="59" t="s">
        <v>295</v>
      </c>
      <c r="C61"/>
      <c r="D61"/>
      <c r="E61"/>
      <c r="F61" s="13"/>
      <c r="G61"/>
      <c r="H61"/>
    </row>
    <row r="62" spans="1:8" ht="15" customHeight="1" x14ac:dyDescent="0.3">
      <c r="A62" s="21" t="s">
        <v>368</v>
      </c>
      <c r="D62"/>
      <c r="E62"/>
      <c r="F62" s="13"/>
      <c r="G62"/>
      <c r="H62"/>
    </row>
    <row r="63" spans="1:8" ht="15" customHeight="1" x14ac:dyDescent="0.3">
      <c r="A63" s="21" t="s">
        <v>176</v>
      </c>
      <c r="D63"/>
      <c r="E63"/>
      <c r="F63" s="13"/>
      <c r="G63"/>
      <c r="H63"/>
    </row>
    <row r="64" spans="1:8" ht="15" customHeight="1" x14ac:dyDescent="0.3">
      <c r="C64"/>
      <c r="D64"/>
      <c r="E64"/>
      <c r="F64" s="13"/>
      <c r="G64"/>
      <c r="H64"/>
    </row>
    <row r="65" spans="1:8" ht="15" customHeight="1" x14ac:dyDescent="0.3">
      <c r="D65"/>
      <c r="E65"/>
      <c r="F65" s="13"/>
      <c r="G65"/>
      <c r="H65"/>
    </row>
    <row r="66" spans="1:8" ht="15" customHeight="1" x14ac:dyDescent="0.3">
      <c r="D66"/>
      <c r="E66"/>
      <c r="F66" s="13"/>
      <c r="G66"/>
      <c r="H66"/>
    </row>
    <row r="67" spans="1:8" ht="15" customHeight="1" x14ac:dyDescent="0.3">
      <c r="C67"/>
      <c r="D67"/>
      <c r="E67"/>
      <c r="F67" s="13"/>
      <c r="G67"/>
      <c r="H67"/>
    </row>
    <row r="68" spans="1:8" ht="15" customHeight="1" x14ac:dyDescent="0.3">
      <c r="D68"/>
      <c r="E68"/>
      <c r="F68" s="13"/>
      <c r="G68"/>
      <c r="H68"/>
    </row>
    <row r="69" spans="1:8" ht="15" customHeight="1" x14ac:dyDescent="0.3">
      <c r="D69"/>
      <c r="E69"/>
      <c r="F69" s="13"/>
      <c r="G69" s="13"/>
      <c r="H69"/>
    </row>
    <row r="70" spans="1:8" ht="15" customHeight="1" x14ac:dyDescent="0.3">
      <c r="C70"/>
      <c r="D70"/>
      <c r="E70"/>
      <c r="F70" s="13"/>
      <c r="G70" s="13"/>
      <c r="H70"/>
    </row>
    <row r="71" spans="1:8" ht="15" customHeight="1" x14ac:dyDescent="0.3">
      <c r="C71"/>
      <c r="D71"/>
      <c r="E71"/>
      <c r="F71" s="13"/>
      <c r="G71" s="13"/>
      <c r="H71"/>
    </row>
    <row r="72" spans="1:8" ht="15" customHeight="1" x14ac:dyDescent="0.3">
      <c r="C72"/>
      <c r="D72"/>
      <c r="E72"/>
      <c r="F72" s="13"/>
      <c r="G72" s="13"/>
      <c r="H72"/>
    </row>
    <row r="73" spans="1:8" ht="15" customHeight="1" x14ac:dyDescent="0.3">
      <c r="C73"/>
      <c r="D73"/>
      <c r="E73"/>
      <c r="F73" s="13"/>
      <c r="G73" s="13"/>
      <c r="H73"/>
    </row>
    <row r="74" spans="1:8" ht="15" customHeight="1" x14ac:dyDescent="0.3">
      <c r="C74"/>
      <c r="D74"/>
      <c r="E74"/>
      <c r="F74" s="13"/>
      <c r="G74" s="13"/>
      <c r="H74"/>
    </row>
    <row r="75" spans="1:8" ht="15" customHeight="1" x14ac:dyDescent="0.3">
      <c r="C75"/>
      <c r="D75"/>
      <c r="E75"/>
      <c r="F75" s="13"/>
      <c r="G75" s="13"/>
      <c r="H75"/>
    </row>
    <row r="76" spans="1:8" ht="15" customHeight="1" x14ac:dyDescent="0.3">
      <c r="C76"/>
      <c r="D76"/>
      <c r="E76"/>
      <c r="F76" s="13"/>
      <c r="G76" s="13"/>
      <c r="H76"/>
    </row>
    <row r="77" spans="1:8" ht="15" customHeight="1" x14ac:dyDescent="0.3">
      <c r="C77"/>
      <c r="D77"/>
      <c r="E77"/>
      <c r="F77" s="13"/>
      <c r="G77" s="13"/>
      <c r="H77"/>
    </row>
    <row r="78" spans="1:8" ht="15" customHeight="1" x14ac:dyDescent="0.3">
      <c r="C78"/>
      <c r="D78"/>
      <c r="E78"/>
      <c r="F78" s="13"/>
      <c r="G78" s="13"/>
      <c r="H78"/>
    </row>
    <row r="79" spans="1:8" ht="15" customHeight="1" x14ac:dyDescent="0.3">
      <c r="A79" s="21" t="s">
        <v>113</v>
      </c>
      <c r="C79"/>
      <c r="D79"/>
      <c r="E79"/>
      <c r="F79" s="13"/>
      <c r="G79" s="13"/>
      <c r="H79"/>
    </row>
    <row r="80" spans="1:8" ht="15" customHeight="1" x14ac:dyDescent="0.3">
      <c r="A80" s="21" t="s">
        <v>157</v>
      </c>
      <c r="C80"/>
      <c r="D80"/>
      <c r="E80"/>
      <c r="F80" s="13"/>
      <c r="G80" s="13"/>
      <c r="H80"/>
    </row>
    <row r="81" spans="1:8" ht="15" customHeight="1" x14ac:dyDescent="0.3">
      <c r="A81" s="21" t="s">
        <v>158</v>
      </c>
      <c r="C81"/>
      <c r="D81"/>
      <c r="E81"/>
      <c r="F81" s="13"/>
      <c r="G81" s="13"/>
      <c r="H81"/>
    </row>
    <row r="82" spans="1:8" ht="15" customHeight="1" x14ac:dyDescent="0.3">
      <c r="A82" s="21" t="s">
        <v>159</v>
      </c>
      <c r="C82"/>
      <c r="D82"/>
      <c r="E82"/>
      <c r="F82" s="13"/>
      <c r="G82" s="13"/>
      <c r="H82"/>
    </row>
    <row r="83" spans="1:8" ht="15" customHeight="1" x14ac:dyDescent="0.3">
      <c r="A83" s="21" t="s">
        <v>160</v>
      </c>
      <c r="C83"/>
      <c r="D83"/>
      <c r="E83"/>
      <c r="F83" s="13"/>
      <c r="G83" s="13"/>
      <c r="H83"/>
    </row>
    <row r="84" spans="1:8" ht="15" customHeight="1" x14ac:dyDescent="0.3">
      <c r="A84" s="21" t="s">
        <v>161</v>
      </c>
      <c r="C84"/>
      <c r="D84"/>
      <c r="E84"/>
      <c r="F84" s="13"/>
      <c r="G84" s="13"/>
      <c r="H84"/>
    </row>
    <row r="85" spans="1:8" ht="15" customHeight="1" x14ac:dyDescent="0.3">
      <c r="A85" s="21" t="s">
        <v>162</v>
      </c>
      <c r="C85"/>
      <c r="D85"/>
      <c r="E85"/>
      <c r="F85" s="13"/>
      <c r="G85" s="13"/>
      <c r="H85"/>
    </row>
    <row r="86" spans="1:8" ht="15" customHeight="1" x14ac:dyDescent="0.3">
      <c r="A86" s="21" t="s">
        <v>112</v>
      </c>
      <c r="C86"/>
      <c r="D86"/>
      <c r="E86"/>
      <c r="F86" s="13"/>
      <c r="G86" s="13"/>
      <c r="H86"/>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76"/>
  <sheetViews>
    <sheetView showGridLines="0" topLeftCell="A4" zoomScaleNormal="100" zoomScalePageLayoutView="125" workbookViewId="0">
      <selection activeCell="E40" sqref="E40"/>
    </sheetView>
  </sheetViews>
  <sheetFormatPr defaultColWidth="8.88671875" defaultRowHeight="15" customHeight="1" x14ac:dyDescent="0.3"/>
  <cols>
    <col min="1" max="1" width="12.6640625" style="21" customWidth="1"/>
    <col min="2" max="2" width="82.88671875" style="17" customWidth="1"/>
    <col min="3" max="16384" width="8.88671875" style="1"/>
  </cols>
  <sheetData>
    <row r="1" spans="1:11" ht="60" customHeight="1" x14ac:dyDescent="0.3">
      <c r="A1" s="21" t="s">
        <v>128</v>
      </c>
      <c r="C1"/>
      <c r="D1"/>
      <c r="E1"/>
      <c r="F1"/>
      <c r="G1"/>
      <c r="H1"/>
    </row>
    <row r="2" spans="1:11" ht="15" customHeight="1" x14ac:dyDescent="0.3">
      <c r="A2" s="21" t="s">
        <v>163</v>
      </c>
      <c r="C2"/>
      <c r="D2"/>
      <c r="E2"/>
      <c r="F2"/>
      <c r="G2"/>
      <c r="H2"/>
    </row>
    <row r="3" spans="1:11" ht="15" customHeight="1" x14ac:dyDescent="0.3">
      <c r="A3" s="21" t="s">
        <v>164</v>
      </c>
      <c r="C3"/>
      <c r="D3"/>
      <c r="E3"/>
      <c r="F3"/>
      <c r="G3"/>
      <c r="H3"/>
    </row>
    <row r="4" spans="1:11" ht="15" customHeight="1" x14ac:dyDescent="0.3">
      <c r="A4" s="21" t="s">
        <v>165</v>
      </c>
      <c r="C4"/>
      <c r="D4"/>
      <c r="E4"/>
      <c r="F4"/>
      <c r="G4"/>
      <c r="H4"/>
    </row>
    <row r="5" spans="1:11" s="4" customFormat="1" ht="15" customHeight="1" x14ac:dyDescent="0.3">
      <c r="A5" s="21" t="s">
        <v>166</v>
      </c>
      <c r="B5" s="17"/>
      <c r="C5" s="37" t="s">
        <v>11</v>
      </c>
      <c r="D5" s="7" t="s">
        <v>12</v>
      </c>
      <c r="E5" s="7" t="s">
        <v>13</v>
      </c>
      <c r="F5" s="7" t="s">
        <v>14</v>
      </c>
      <c r="G5" s="7" t="s">
        <v>15</v>
      </c>
      <c r="H5" s="7" t="s">
        <v>16</v>
      </c>
    </row>
    <row r="6" spans="1:11" s="4" customFormat="1" ht="15" customHeight="1" x14ac:dyDescent="0.3">
      <c r="A6" s="21" t="s">
        <v>296</v>
      </c>
      <c r="B6" s="17"/>
      <c r="C6" s="37" t="s">
        <v>1</v>
      </c>
      <c r="D6" s="7">
        <v>50</v>
      </c>
      <c r="E6" s="7">
        <v>100</v>
      </c>
      <c r="F6" s="7">
        <v>40</v>
      </c>
      <c r="G6" s="7">
        <v>50</v>
      </c>
      <c r="H6" s="7">
        <v>20</v>
      </c>
    </row>
    <row r="7" spans="1:11" s="4" customFormat="1" ht="15" customHeight="1" x14ac:dyDescent="0.3">
      <c r="A7" s="21" t="s">
        <v>297</v>
      </c>
      <c r="B7" s="17"/>
      <c r="C7"/>
      <c r="D7"/>
      <c r="E7"/>
      <c r="F7"/>
      <c r="G7"/>
      <c r="H7"/>
    </row>
    <row r="8" spans="1:11" s="4" customFormat="1" ht="15" customHeight="1" x14ac:dyDescent="0.3">
      <c r="A8" s="21" t="s">
        <v>167</v>
      </c>
      <c r="B8" s="17"/>
      <c r="C8"/>
      <c r="D8"/>
      <c r="E8"/>
      <c r="F8"/>
      <c r="G8"/>
      <c r="H8"/>
    </row>
    <row r="9" spans="1:11" s="4" customFormat="1" ht="15" customHeight="1" x14ac:dyDescent="0.3">
      <c r="A9" s="21" t="s">
        <v>118</v>
      </c>
      <c r="B9" s="17" t="s">
        <v>168</v>
      </c>
      <c r="C9" s="37" t="s">
        <v>11</v>
      </c>
      <c r="D9" s="37" t="s">
        <v>1</v>
      </c>
      <c r="E9"/>
      <c r="F9"/>
      <c r="G9"/>
      <c r="H9"/>
      <c r="J9" s="37" t="s">
        <v>11</v>
      </c>
      <c r="K9" s="37" t="s">
        <v>1</v>
      </c>
    </row>
    <row r="10" spans="1:11" s="4" customFormat="1" ht="15" customHeight="1" x14ac:dyDescent="0.3">
      <c r="A10" s="21"/>
      <c r="B10" s="17"/>
      <c r="C10" s="7" t="s">
        <v>12</v>
      </c>
      <c r="D10" s="7">
        <v>50</v>
      </c>
      <c r="E10"/>
      <c r="F10"/>
      <c r="G10"/>
      <c r="H10"/>
      <c r="J10" s="7" t="s">
        <v>12</v>
      </c>
      <c r="K10" s="7">
        <v>50</v>
      </c>
    </row>
    <row r="11" spans="1:11" s="4" customFormat="1" ht="15" customHeight="1" x14ac:dyDescent="0.3">
      <c r="A11" s="21"/>
      <c r="B11" s="17"/>
      <c r="C11" s="7" t="s">
        <v>13</v>
      </c>
      <c r="D11" s="7">
        <v>100</v>
      </c>
      <c r="E11"/>
      <c r="F11"/>
      <c r="G11"/>
      <c r="H11"/>
      <c r="J11" s="7" t="s">
        <v>13</v>
      </c>
      <c r="K11" s="7">
        <v>100</v>
      </c>
    </row>
    <row r="12" spans="1:11" s="4" customFormat="1" ht="15" customHeight="1" x14ac:dyDescent="0.3">
      <c r="A12" s="21"/>
      <c r="B12" s="17"/>
      <c r="C12" s="7" t="s">
        <v>14</v>
      </c>
      <c r="D12" s="7">
        <v>40</v>
      </c>
      <c r="E12"/>
      <c r="F12"/>
      <c r="G12"/>
      <c r="H12"/>
      <c r="J12" s="7" t="s">
        <v>14</v>
      </c>
      <c r="K12" s="7">
        <v>40</v>
      </c>
    </row>
    <row r="13" spans="1:11" s="4" customFormat="1" ht="15" customHeight="1" x14ac:dyDescent="0.3">
      <c r="A13" s="21"/>
      <c r="B13" s="17"/>
      <c r="C13" s="7" t="s">
        <v>15</v>
      </c>
      <c r="D13" s="7">
        <v>50</v>
      </c>
      <c r="E13"/>
      <c r="F13"/>
      <c r="G13"/>
      <c r="H13"/>
      <c r="J13" s="7" t="s">
        <v>15</v>
      </c>
      <c r="K13" s="7">
        <v>50</v>
      </c>
    </row>
    <row r="14" spans="1:11" s="4" customFormat="1" ht="15" customHeight="1" x14ac:dyDescent="0.3">
      <c r="A14" s="21"/>
      <c r="B14" s="17"/>
      <c r="C14" s="7" t="s">
        <v>16</v>
      </c>
      <c r="D14" s="7">
        <v>20</v>
      </c>
      <c r="E14"/>
      <c r="F14"/>
      <c r="G14"/>
      <c r="H14"/>
      <c r="J14" s="7" t="s">
        <v>16</v>
      </c>
      <c r="K14" s="7">
        <v>20</v>
      </c>
    </row>
    <row r="15" spans="1:11" s="4" customFormat="1" ht="15" customHeight="1" x14ac:dyDescent="0.3">
      <c r="A15" s="21"/>
      <c r="B15" s="17"/>
      <c r="C15"/>
      <c r="D15"/>
      <c r="E15"/>
      <c r="F15"/>
      <c r="G15"/>
      <c r="H15"/>
    </row>
    <row r="16" spans="1:11" s="4" customFormat="1" ht="15" customHeight="1" x14ac:dyDescent="0.3">
      <c r="A16" s="21"/>
      <c r="B16" s="17"/>
      <c r="C16"/>
      <c r="D16"/>
      <c r="E16"/>
      <c r="F16"/>
      <c r="G16"/>
      <c r="H16"/>
    </row>
    <row r="17" spans="1:8" s="4" customFormat="1" ht="15" customHeight="1" x14ac:dyDescent="0.3">
      <c r="A17" s="21"/>
      <c r="B17" s="17"/>
      <c r="C17"/>
      <c r="D17"/>
      <c r="E17"/>
      <c r="F17"/>
      <c r="G17"/>
      <c r="H17"/>
    </row>
    <row r="18" spans="1:8" s="4" customFormat="1" ht="15" customHeight="1" x14ac:dyDescent="0.3">
      <c r="A18" s="21"/>
      <c r="B18" s="17"/>
      <c r="C18"/>
      <c r="D18"/>
      <c r="E18"/>
      <c r="F18"/>
      <c r="G18"/>
      <c r="H18"/>
    </row>
    <row r="19" spans="1:8" s="4" customFormat="1" ht="15" customHeight="1" x14ac:dyDescent="0.3">
      <c r="A19" s="21"/>
      <c r="B19" s="17"/>
      <c r="C19"/>
      <c r="D19"/>
      <c r="E19"/>
      <c r="F19"/>
      <c r="G19"/>
      <c r="H19"/>
    </row>
    <row r="20" spans="1:8" s="4" customFormat="1" ht="15" customHeight="1" x14ac:dyDescent="0.3">
      <c r="A20" s="21"/>
      <c r="B20" s="17"/>
      <c r="C20"/>
      <c r="D20"/>
      <c r="E20"/>
      <c r="F20"/>
      <c r="G20"/>
      <c r="H20"/>
    </row>
    <row r="21" spans="1:8" s="4" customFormat="1" ht="15" customHeight="1" x14ac:dyDescent="0.3">
      <c r="A21" s="21"/>
      <c r="B21" s="17"/>
      <c r="C21"/>
      <c r="D21"/>
      <c r="E21"/>
      <c r="F21"/>
      <c r="G21"/>
      <c r="H21"/>
    </row>
    <row r="22" spans="1:8" s="4" customFormat="1" ht="15" customHeight="1" x14ac:dyDescent="0.3">
      <c r="A22" s="21"/>
      <c r="B22" s="17"/>
    </row>
    <row r="23" spans="1:8" s="4" customFormat="1" ht="15" customHeight="1" x14ac:dyDescent="0.3">
      <c r="A23" s="21"/>
      <c r="B23" s="17"/>
    </row>
    <row r="24" spans="1:8" s="4" customFormat="1" ht="15" customHeight="1" x14ac:dyDescent="0.3">
      <c r="A24" s="21"/>
      <c r="B24" s="17"/>
    </row>
    <row r="27" spans="1:8" ht="15" customHeight="1" x14ac:dyDescent="0.3">
      <c r="A27" s="21" t="s">
        <v>170</v>
      </c>
    </row>
    <row r="28" spans="1:8" ht="15" customHeight="1" x14ac:dyDescent="0.3">
      <c r="A28" s="21" t="s">
        <v>171</v>
      </c>
    </row>
    <row r="29" spans="1:8" ht="15" customHeight="1" x14ac:dyDescent="0.3">
      <c r="A29" s="21" t="s">
        <v>343</v>
      </c>
      <c r="C29"/>
      <c r="D29"/>
      <c r="E29"/>
      <c r="F29"/>
      <c r="G29"/>
    </row>
    <row r="30" spans="1:8" ht="15" customHeight="1" x14ac:dyDescent="0.3">
      <c r="A30" s="60" t="s">
        <v>349</v>
      </c>
      <c r="C30"/>
      <c r="D30"/>
      <c r="E30"/>
      <c r="F30"/>
      <c r="G30"/>
    </row>
    <row r="31" spans="1:8" ht="15" customHeight="1" x14ac:dyDescent="0.3">
      <c r="A31" s="21" t="s">
        <v>172</v>
      </c>
      <c r="C31"/>
      <c r="D31"/>
      <c r="E31"/>
      <c r="F31"/>
      <c r="G31"/>
    </row>
    <row r="32" spans="1:8" ht="15" customHeight="1" x14ac:dyDescent="0.3">
      <c r="A32" s="21" t="s">
        <v>173</v>
      </c>
      <c r="C32"/>
      <c r="D32"/>
      <c r="E32"/>
      <c r="F32"/>
      <c r="G32"/>
    </row>
    <row r="33" spans="1:8" ht="15" customHeight="1" x14ac:dyDescent="0.3">
      <c r="A33" s="21" t="s">
        <v>177</v>
      </c>
      <c r="C33" s="37" t="s">
        <v>11</v>
      </c>
      <c r="D33" s="7" t="s">
        <v>12</v>
      </c>
      <c r="E33" s="7" t="s">
        <v>13</v>
      </c>
      <c r="F33" s="7" t="s">
        <v>14</v>
      </c>
      <c r="G33" s="7" t="s">
        <v>15</v>
      </c>
      <c r="H33" s="7" t="s">
        <v>16</v>
      </c>
    </row>
    <row r="34" spans="1:8" ht="15" customHeight="1" x14ac:dyDescent="0.3">
      <c r="C34" s="37" t="s">
        <v>1</v>
      </c>
      <c r="D34" s="7">
        <v>50</v>
      </c>
      <c r="E34" s="7">
        <v>100</v>
      </c>
      <c r="F34" s="7">
        <v>40</v>
      </c>
      <c r="G34" s="7">
        <v>50</v>
      </c>
      <c r="H34" s="7">
        <v>20</v>
      </c>
    </row>
    <row r="35" spans="1:8" ht="15" customHeight="1" x14ac:dyDescent="0.3">
      <c r="C35"/>
      <c r="D35"/>
      <c r="E35"/>
      <c r="F35"/>
      <c r="G35"/>
      <c r="H35"/>
    </row>
    <row r="36" spans="1:8" ht="15" customHeight="1" x14ac:dyDescent="0.3">
      <c r="C36"/>
      <c r="D36"/>
      <c r="E36"/>
      <c r="F36"/>
      <c r="G36"/>
      <c r="H36"/>
    </row>
    <row r="37" spans="1:8" ht="15" customHeight="1" x14ac:dyDescent="0.3">
      <c r="C37"/>
      <c r="D37"/>
      <c r="E37"/>
      <c r="F37"/>
      <c r="G37"/>
      <c r="H37"/>
    </row>
    <row r="38" spans="1:8" ht="15" customHeight="1" x14ac:dyDescent="0.3">
      <c r="E38"/>
      <c r="F38"/>
      <c r="G38"/>
      <c r="H38"/>
    </row>
    <row r="39" spans="1:8" ht="15" customHeight="1" x14ac:dyDescent="0.3">
      <c r="E39"/>
      <c r="F39"/>
      <c r="G39"/>
      <c r="H39"/>
    </row>
    <row r="40" spans="1:8" ht="15" customHeight="1" x14ac:dyDescent="0.3">
      <c r="C40" s="8" t="str">
        <f t="array" ref="C40:D45">TRANSPOSE(C33:H34)</f>
        <v>Item</v>
      </c>
      <c r="D40" s="8" t="str">
        <v>Amount</v>
      </c>
      <c r="E40"/>
      <c r="F40"/>
      <c r="G40"/>
      <c r="H40"/>
    </row>
    <row r="41" spans="1:8" ht="15" customHeight="1" x14ac:dyDescent="0.3">
      <c r="C41" s="8" t="str">
        <v>Bread</v>
      </c>
      <c r="D41" s="8">
        <v>50</v>
      </c>
      <c r="E41"/>
      <c r="F41"/>
      <c r="G41"/>
      <c r="H41"/>
    </row>
    <row r="42" spans="1:8" ht="15" customHeight="1" x14ac:dyDescent="0.3">
      <c r="C42" s="8" t="str">
        <v>Donuts</v>
      </c>
      <c r="D42" s="8">
        <v>100</v>
      </c>
      <c r="E42"/>
      <c r="F42"/>
      <c r="G42"/>
      <c r="H42"/>
    </row>
    <row r="43" spans="1:8" ht="15" customHeight="1" x14ac:dyDescent="0.3">
      <c r="C43" s="8" t="str">
        <v>Cookies</v>
      </c>
      <c r="D43" s="8">
        <v>40</v>
      </c>
      <c r="E43"/>
      <c r="F43"/>
      <c r="G43"/>
      <c r="H43"/>
    </row>
    <row r="44" spans="1:8" ht="15" customHeight="1" x14ac:dyDescent="0.3">
      <c r="C44" s="8" t="str">
        <v>Cakes</v>
      </c>
      <c r="D44" s="8">
        <v>50</v>
      </c>
      <c r="E44"/>
      <c r="F44"/>
      <c r="G44"/>
      <c r="H44"/>
    </row>
    <row r="45" spans="1:8" ht="15" customHeight="1" x14ac:dyDescent="0.3">
      <c r="C45" s="8" t="str">
        <v>Pies</v>
      </c>
      <c r="D45" s="8">
        <v>20</v>
      </c>
      <c r="E45"/>
      <c r="F45"/>
      <c r="G45"/>
      <c r="H45"/>
    </row>
    <row r="46" spans="1:8" ht="15" customHeight="1" x14ac:dyDescent="0.3">
      <c r="C46"/>
      <c r="D46"/>
      <c r="E46"/>
      <c r="F46"/>
      <c r="G46"/>
      <c r="H46"/>
    </row>
    <row r="47" spans="1:8" ht="15" customHeight="1" x14ac:dyDescent="0.3">
      <c r="C47"/>
      <c r="D47"/>
      <c r="E47"/>
      <c r="F47"/>
      <c r="G47"/>
      <c r="H47"/>
    </row>
    <row r="48" spans="1:8" ht="15" customHeight="1" x14ac:dyDescent="0.3">
      <c r="C48"/>
      <c r="D48"/>
      <c r="E48"/>
      <c r="F48"/>
      <c r="G48"/>
      <c r="H48"/>
    </row>
    <row r="49" spans="1:8" ht="15" customHeight="1" x14ac:dyDescent="0.3">
      <c r="C49"/>
      <c r="D49"/>
      <c r="E49"/>
      <c r="F49"/>
      <c r="G49"/>
      <c r="H49"/>
    </row>
    <row r="50" spans="1:8" ht="15" customHeight="1" x14ac:dyDescent="0.3">
      <c r="C50"/>
      <c r="D50"/>
      <c r="E50"/>
      <c r="F50"/>
      <c r="G50"/>
      <c r="H50"/>
    </row>
    <row r="51" spans="1:8" ht="15" customHeight="1" x14ac:dyDescent="0.3">
      <c r="C51"/>
      <c r="D51"/>
      <c r="E51"/>
      <c r="F51"/>
      <c r="G51"/>
      <c r="H51"/>
    </row>
    <row r="52" spans="1:8" ht="15" customHeight="1" x14ac:dyDescent="0.3">
      <c r="C52"/>
      <c r="D52"/>
      <c r="E52"/>
      <c r="F52"/>
      <c r="G52"/>
      <c r="H52"/>
    </row>
    <row r="53" spans="1:8" ht="15" customHeight="1" x14ac:dyDescent="0.3">
      <c r="C53"/>
      <c r="D53"/>
      <c r="E53"/>
      <c r="F53"/>
      <c r="G53"/>
      <c r="H53"/>
    </row>
    <row r="54" spans="1:8" ht="15" customHeight="1" x14ac:dyDescent="0.3">
      <c r="A54" s="21" t="s">
        <v>178</v>
      </c>
      <c r="C54"/>
      <c r="D54"/>
      <c r="E54"/>
      <c r="F54"/>
      <c r="G54"/>
      <c r="H54"/>
    </row>
    <row r="55" spans="1:8" ht="15" customHeight="1" x14ac:dyDescent="0.3">
      <c r="A55" s="21" t="s">
        <v>179</v>
      </c>
      <c r="C55"/>
      <c r="D55"/>
      <c r="E55"/>
      <c r="F55"/>
      <c r="G55"/>
      <c r="H55"/>
    </row>
    <row r="56" spans="1:8" ht="15" customHeight="1" x14ac:dyDescent="0.3">
      <c r="A56" s="21" t="s">
        <v>180</v>
      </c>
      <c r="C56"/>
      <c r="D56"/>
      <c r="E56"/>
      <c r="F56"/>
      <c r="G56"/>
      <c r="H56"/>
    </row>
    <row r="57" spans="1:8" ht="15" customHeight="1" x14ac:dyDescent="0.3">
      <c r="A57" s="21" t="s">
        <v>174</v>
      </c>
      <c r="C57"/>
      <c r="D57"/>
      <c r="E57"/>
      <c r="F57"/>
      <c r="G57"/>
      <c r="H57"/>
    </row>
    <row r="58" spans="1:8" ht="15" customHeight="1" x14ac:dyDescent="0.3">
      <c r="A58" s="21" t="s">
        <v>175</v>
      </c>
      <c r="C58"/>
      <c r="D58"/>
      <c r="E58"/>
      <c r="F58"/>
      <c r="G58"/>
      <c r="H58"/>
    </row>
    <row r="59" spans="1:8" ht="15" customHeight="1" x14ac:dyDescent="0.3">
      <c r="A59" s="21" t="s">
        <v>181</v>
      </c>
      <c r="C59"/>
      <c r="D59"/>
      <c r="E59"/>
      <c r="F59"/>
      <c r="G59"/>
      <c r="H59"/>
    </row>
    <row r="60" spans="1:8" ht="15" customHeight="1" x14ac:dyDescent="0.3">
      <c r="C60"/>
      <c r="D60"/>
      <c r="E60"/>
      <c r="F60"/>
      <c r="G60"/>
      <c r="H60"/>
    </row>
    <row r="61" spans="1:8" ht="15" customHeight="1" x14ac:dyDescent="0.3">
      <c r="C61"/>
      <c r="D61"/>
      <c r="E61"/>
      <c r="F61"/>
      <c r="G61"/>
      <c r="H61"/>
    </row>
    <row r="69" spans="1:8" ht="15" customHeight="1" x14ac:dyDescent="0.3">
      <c r="C69"/>
      <c r="D69"/>
      <c r="E69"/>
      <c r="F69"/>
      <c r="G69"/>
      <c r="H69"/>
    </row>
    <row r="70" spans="1:8" ht="15" customHeight="1" x14ac:dyDescent="0.3">
      <c r="C70"/>
      <c r="D70"/>
      <c r="E70"/>
      <c r="F70"/>
      <c r="G70"/>
      <c r="H70"/>
    </row>
    <row r="71" spans="1:8" ht="15" customHeight="1" x14ac:dyDescent="0.3">
      <c r="C71"/>
      <c r="D71"/>
      <c r="E71"/>
      <c r="F71"/>
      <c r="G71"/>
      <c r="H71"/>
    </row>
    <row r="72" spans="1:8" ht="15" customHeight="1" x14ac:dyDescent="0.3">
      <c r="A72" s="21" t="s">
        <v>113</v>
      </c>
      <c r="C72"/>
      <c r="D72"/>
      <c r="E72"/>
      <c r="F72"/>
      <c r="G72"/>
      <c r="H72"/>
    </row>
    <row r="73" spans="1:8" ht="15" customHeight="1" x14ac:dyDescent="0.3">
      <c r="A73" s="21" t="s">
        <v>182</v>
      </c>
      <c r="C73"/>
      <c r="D73"/>
      <c r="E73"/>
      <c r="F73"/>
      <c r="G73"/>
      <c r="H73"/>
    </row>
    <row r="74" spans="1:8" ht="15" customHeight="1" x14ac:dyDescent="0.3">
      <c r="A74" s="21" t="s">
        <v>183</v>
      </c>
      <c r="C74"/>
      <c r="D74"/>
      <c r="E74"/>
      <c r="F74"/>
      <c r="G74"/>
      <c r="H74"/>
    </row>
    <row r="75" spans="1:8" ht="15" customHeight="1" x14ac:dyDescent="0.3">
      <c r="A75" s="21" t="s">
        <v>184</v>
      </c>
      <c r="C75"/>
      <c r="D75"/>
      <c r="E75"/>
      <c r="F75"/>
      <c r="G75"/>
      <c r="H75"/>
    </row>
    <row r="76" spans="1:8" ht="15" customHeight="1" x14ac:dyDescent="0.3">
      <c r="A76" s="21" t="s">
        <v>112</v>
      </c>
      <c r="C76"/>
      <c r="D76"/>
      <c r="E76"/>
      <c r="F76"/>
      <c r="G76"/>
      <c r="H76"/>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topLeftCell="A59" zoomScaleNormal="100" zoomScalePageLayoutView="125" workbookViewId="0">
      <selection activeCell="G60" sqref="G60"/>
    </sheetView>
  </sheetViews>
  <sheetFormatPr defaultColWidth="8.88671875" defaultRowHeight="15" customHeight="1" x14ac:dyDescent="0.3"/>
  <cols>
    <col min="1" max="1" width="12.6640625" style="21" customWidth="1"/>
    <col min="2" max="2" width="82.88671875" style="17" customWidth="1"/>
    <col min="3" max="3" width="15.109375" style="1" customWidth="1"/>
    <col min="4" max="4" width="12.5546875" style="1" customWidth="1"/>
    <col min="5" max="5" width="8.33203125" style="1" customWidth="1"/>
    <col min="6" max="6" width="9.33203125" style="1" customWidth="1"/>
    <col min="7" max="7" width="10.88671875" style="1" customWidth="1"/>
    <col min="8" max="16384" width="8.88671875" style="1"/>
  </cols>
  <sheetData>
    <row r="1" spans="1:7" ht="60" customHeight="1" x14ac:dyDescent="0.3">
      <c r="A1" s="21" t="s">
        <v>129</v>
      </c>
      <c r="C1"/>
      <c r="D1"/>
      <c r="E1"/>
      <c r="F1"/>
      <c r="G1"/>
    </row>
    <row r="2" spans="1:7" ht="15" customHeight="1" x14ac:dyDescent="0.3">
      <c r="A2" s="21" t="s">
        <v>304</v>
      </c>
    </row>
    <row r="3" spans="1:7" ht="15" customHeight="1" x14ac:dyDescent="0.3">
      <c r="A3" s="21" t="s">
        <v>298</v>
      </c>
      <c r="C3"/>
      <c r="D3"/>
      <c r="E3"/>
      <c r="F3"/>
      <c r="G3"/>
    </row>
    <row r="4" spans="1:7" ht="15" customHeight="1" x14ac:dyDescent="0.3">
      <c r="A4" s="21" t="s">
        <v>299</v>
      </c>
      <c r="C4"/>
      <c r="D4"/>
      <c r="E4"/>
      <c r="F4"/>
      <c r="G4"/>
    </row>
    <row r="5" spans="1:7" s="4" customFormat="1" ht="15" customHeight="1" x14ac:dyDescent="0.3">
      <c r="A5" s="21" t="s">
        <v>300</v>
      </c>
      <c r="B5" s="17"/>
      <c r="C5" s="37" t="s">
        <v>46</v>
      </c>
      <c r="D5" s="37" t="s">
        <v>26</v>
      </c>
      <c r="E5" s="37" t="s">
        <v>47</v>
      </c>
      <c r="F5" s="37" t="s">
        <v>48</v>
      </c>
      <c r="G5" s="37" t="s">
        <v>49</v>
      </c>
    </row>
    <row r="6" spans="1:7" s="4" customFormat="1" ht="15" customHeight="1" x14ac:dyDescent="0.3">
      <c r="A6" s="21" t="s">
        <v>301</v>
      </c>
      <c r="B6" s="17"/>
      <c r="C6" s="17" t="s">
        <v>6</v>
      </c>
      <c r="D6" s="17" t="s">
        <v>8</v>
      </c>
      <c r="E6" s="47">
        <v>75000</v>
      </c>
      <c r="F6" s="47">
        <v>82000</v>
      </c>
      <c r="G6" s="47">
        <v>2000000</v>
      </c>
    </row>
    <row r="7" spans="1:7" s="4" customFormat="1" ht="15" customHeight="1" x14ac:dyDescent="0.3">
      <c r="A7" s="21" t="s">
        <v>302</v>
      </c>
      <c r="B7" s="17"/>
      <c r="C7" s="17" t="s">
        <v>45</v>
      </c>
      <c r="D7" s="17" t="s">
        <v>52</v>
      </c>
      <c r="E7" s="47">
        <v>25000</v>
      </c>
      <c r="F7" s="47">
        <v>80000</v>
      </c>
      <c r="G7" s="47">
        <v>120000</v>
      </c>
    </row>
    <row r="8" spans="1:7" s="4" customFormat="1" ht="15" customHeight="1" x14ac:dyDescent="0.3">
      <c r="A8" s="21" t="s">
        <v>118</v>
      </c>
      <c r="B8" s="17"/>
      <c r="C8" s="7" t="s">
        <v>6</v>
      </c>
      <c r="D8" s="7" t="s">
        <v>7</v>
      </c>
      <c r="E8" s="62">
        <v>90000</v>
      </c>
      <c r="F8" s="62">
        <v>110000</v>
      </c>
      <c r="G8" s="62">
        <v>120000</v>
      </c>
    </row>
    <row r="9" spans="1:7" s="4" customFormat="1" ht="15" customHeight="1" x14ac:dyDescent="0.3">
      <c r="A9" s="21"/>
      <c r="B9" s="17"/>
      <c r="C9" s="7" t="s">
        <v>28</v>
      </c>
      <c r="D9" s="7" t="s">
        <v>0</v>
      </c>
      <c r="E9" s="62">
        <v>10000</v>
      </c>
      <c r="F9" s="62">
        <v>30000</v>
      </c>
      <c r="G9" s="62">
        <v>40000</v>
      </c>
    </row>
    <row r="10" spans="1:7" s="4" customFormat="1" ht="15" customHeight="1" x14ac:dyDescent="0.3">
      <c r="A10" s="21"/>
      <c r="B10" s="17"/>
      <c r="C10" s="17" t="s">
        <v>28</v>
      </c>
      <c r="D10" s="17" t="s">
        <v>50</v>
      </c>
      <c r="E10" s="47">
        <v>30000</v>
      </c>
      <c r="F10" s="47">
        <v>80000</v>
      </c>
      <c r="G10" s="47">
        <v>30000</v>
      </c>
    </row>
    <row r="11" spans="1:7" s="4" customFormat="1" ht="15" customHeight="1" x14ac:dyDescent="0.3">
      <c r="A11" s="21"/>
      <c r="B11" s="17"/>
      <c r="C11" s="7" t="s">
        <v>53</v>
      </c>
      <c r="D11" s="7" t="s">
        <v>54</v>
      </c>
      <c r="E11" s="62">
        <v>90000</v>
      </c>
      <c r="F11" s="62">
        <v>35000</v>
      </c>
      <c r="G11" s="62">
        <v>25000</v>
      </c>
    </row>
    <row r="12" spans="1:7" s="4" customFormat="1" ht="15" customHeight="1" x14ac:dyDescent="0.3">
      <c r="A12" s="21"/>
      <c r="B12" s="17"/>
      <c r="C12" s="6" t="s">
        <v>45</v>
      </c>
      <c r="D12" s="6" t="s">
        <v>51</v>
      </c>
      <c r="E12" s="38">
        <v>30000</v>
      </c>
      <c r="F12" s="38">
        <v>15000</v>
      </c>
      <c r="G12" s="38">
        <v>20000</v>
      </c>
    </row>
    <row r="13" spans="1:7" s="4" customFormat="1" ht="15" customHeight="1" x14ac:dyDescent="0.3">
      <c r="A13" s="21"/>
      <c r="B13" s="17"/>
      <c r="C13" s="17" t="s">
        <v>53</v>
      </c>
      <c r="D13" s="17" t="s">
        <v>64</v>
      </c>
      <c r="E13" s="47">
        <v>80000</v>
      </c>
      <c r="F13" s="47">
        <v>40000</v>
      </c>
      <c r="G13" s="47">
        <v>20000</v>
      </c>
    </row>
    <row r="14" spans="1:7" s="4" customFormat="1" ht="15" customHeight="1" x14ac:dyDescent="0.3">
      <c r="A14" s="21"/>
      <c r="B14" s="17"/>
      <c r="C14"/>
      <c r="D14"/>
      <c r="E14"/>
      <c r="F14"/>
      <c r="G14"/>
    </row>
    <row r="15" spans="1:7" s="4" customFormat="1" ht="15" customHeight="1" x14ac:dyDescent="0.3">
      <c r="A15" s="21"/>
      <c r="B15" s="17"/>
      <c r="C15"/>
      <c r="D15"/>
      <c r="E15"/>
      <c r="F15"/>
      <c r="G15"/>
    </row>
    <row r="16" spans="1:7" s="4" customFormat="1" ht="15" customHeight="1" x14ac:dyDescent="0.3">
      <c r="A16" s="21"/>
      <c r="B16" s="17"/>
      <c r="C16"/>
      <c r="D16"/>
      <c r="E16"/>
      <c r="F16"/>
      <c r="G16"/>
    </row>
    <row r="17" spans="1:7" s="4" customFormat="1" ht="15" customHeight="1" x14ac:dyDescent="0.3">
      <c r="A17" s="21"/>
      <c r="B17" s="17"/>
      <c r="C17"/>
      <c r="D17"/>
      <c r="E17"/>
      <c r="F17"/>
      <c r="G17"/>
    </row>
    <row r="18" spans="1:7" s="4" customFormat="1" ht="15" customHeight="1" x14ac:dyDescent="0.3">
      <c r="A18" s="21"/>
      <c r="B18" s="17"/>
      <c r="C18"/>
      <c r="D18"/>
      <c r="E18"/>
      <c r="F18"/>
      <c r="G18"/>
    </row>
    <row r="19" spans="1:7" s="4" customFormat="1" ht="15" customHeight="1" x14ac:dyDescent="0.3">
      <c r="A19" s="21"/>
      <c r="B19" s="17"/>
      <c r="C19"/>
      <c r="D19"/>
      <c r="E19"/>
      <c r="F19"/>
      <c r="G19"/>
    </row>
    <row r="20" spans="1:7" s="4" customFormat="1" ht="15" customHeight="1" x14ac:dyDescent="0.3">
      <c r="A20" s="21"/>
      <c r="B20" s="17"/>
      <c r="C20"/>
      <c r="D20"/>
      <c r="E20"/>
      <c r="F20"/>
      <c r="G20"/>
    </row>
    <row r="21" spans="1:7" s="4" customFormat="1" ht="15" customHeight="1" x14ac:dyDescent="0.3">
      <c r="A21" s="21"/>
      <c r="B21" s="17"/>
      <c r="C21"/>
      <c r="D21"/>
      <c r="E21"/>
      <c r="F21"/>
      <c r="G21"/>
    </row>
    <row r="22" spans="1:7" s="4" customFormat="1" ht="15" customHeight="1" x14ac:dyDescent="0.3">
      <c r="A22" s="21"/>
      <c r="B22" s="17"/>
    </row>
    <row r="23" spans="1:7" s="4" customFormat="1" ht="15" customHeight="1" x14ac:dyDescent="0.3">
      <c r="A23" s="21"/>
      <c r="B23" s="17"/>
    </row>
    <row r="24" spans="1:7" s="4" customFormat="1" ht="15" customHeight="1" x14ac:dyDescent="0.3">
      <c r="A24" s="21"/>
      <c r="B24" s="17"/>
    </row>
    <row r="27" spans="1:7" ht="15" customHeight="1" x14ac:dyDescent="0.3">
      <c r="A27" s="21" t="s">
        <v>185</v>
      </c>
      <c r="C27"/>
      <c r="D27"/>
      <c r="E27"/>
      <c r="F27"/>
      <c r="G27"/>
    </row>
    <row r="28" spans="1:7" ht="15" customHeight="1" x14ac:dyDescent="0.3">
      <c r="A28" s="21" t="s">
        <v>305</v>
      </c>
      <c r="C28"/>
      <c r="D28"/>
      <c r="E28"/>
      <c r="F28"/>
      <c r="G28"/>
    </row>
    <row r="29" spans="1:7" ht="15" customHeight="1" x14ac:dyDescent="0.3">
      <c r="A29" s="21" t="s">
        <v>303</v>
      </c>
      <c r="C29"/>
      <c r="D29"/>
      <c r="E29"/>
      <c r="F29"/>
      <c r="G29"/>
    </row>
    <row r="30" spans="1:7" ht="15" customHeight="1" x14ac:dyDescent="0.3">
      <c r="A30" s="21" t="s">
        <v>306</v>
      </c>
      <c r="C30"/>
      <c r="D30"/>
      <c r="E30"/>
      <c r="F30"/>
      <c r="G30"/>
    </row>
    <row r="31" spans="1:7" ht="15" customHeight="1" x14ac:dyDescent="0.3">
      <c r="A31" s="21" t="s">
        <v>361</v>
      </c>
      <c r="C31" t="s">
        <v>67</v>
      </c>
      <c r="D31" t="s">
        <v>68</v>
      </c>
      <c r="E31" t="s">
        <v>57</v>
      </c>
      <c r="F31" t="s">
        <v>69</v>
      </c>
      <c r="G31"/>
    </row>
    <row r="32" spans="1:7" ht="15" customHeight="1" x14ac:dyDescent="0.3">
      <c r="A32" s="21" t="s">
        <v>187</v>
      </c>
      <c r="C32" s="52">
        <f ca="1">TODAY()-5</f>
        <v>45140</v>
      </c>
      <c r="D32" s="44" t="s">
        <v>74</v>
      </c>
      <c r="E32" s="45">
        <v>45</v>
      </c>
      <c r="F32" s="46">
        <v>5050</v>
      </c>
      <c r="G32"/>
    </row>
    <row r="33" spans="1:7" ht="15" customHeight="1" x14ac:dyDescent="0.3">
      <c r="A33" s="21" t="s">
        <v>188</v>
      </c>
      <c r="C33" s="52">
        <f ca="1">TODAY()-2</f>
        <v>45143</v>
      </c>
      <c r="D33" s="44" t="s">
        <v>70</v>
      </c>
      <c r="E33" s="45">
        <v>21</v>
      </c>
      <c r="F33" s="46">
        <v>3820</v>
      </c>
      <c r="G33"/>
    </row>
    <row r="34" spans="1:7" ht="15" customHeight="1" x14ac:dyDescent="0.3">
      <c r="C34" s="52">
        <f ca="1">TODAY()</f>
        <v>45145</v>
      </c>
      <c r="D34" s="44" t="s">
        <v>72</v>
      </c>
      <c r="E34" s="45">
        <v>30</v>
      </c>
      <c r="F34" s="46">
        <v>3085</v>
      </c>
      <c r="G34"/>
    </row>
    <row r="35" spans="1:7" ht="15" customHeight="1" x14ac:dyDescent="0.3">
      <c r="C35" s="52">
        <f ca="1">TODAY()-6</f>
        <v>45139</v>
      </c>
      <c r="D35" s="44" t="s">
        <v>73</v>
      </c>
      <c r="E35" s="45">
        <v>25</v>
      </c>
      <c r="F35" s="45">
        <v>1611</v>
      </c>
      <c r="G35"/>
    </row>
    <row r="36" spans="1:7" ht="15" customHeight="1" x14ac:dyDescent="0.3">
      <c r="C36" s="52">
        <f ca="1">TODAY()-4</f>
        <v>45141</v>
      </c>
      <c r="D36" s="44" t="s">
        <v>75</v>
      </c>
      <c r="E36" s="45">
        <v>69</v>
      </c>
      <c r="F36" s="45">
        <v>528</v>
      </c>
      <c r="G36"/>
    </row>
    <row r="37" spans="1:7" ht="15" customHeight="1" x14ac:dyDescent="0.3">
      <c r="C37" s="52">
        <f ca="1">TODAY()-3</f>
        <v>45142</v>
      </c>
      <c r="D37" s="44" t="s">
        <v>71</v>
      </c>
      <c r="E37" s="45">
        <v>62</v>
      </c>
      <c r="F37" s="45">
        <v>2112</v>
      </c>
      <c r="G37"/>
    </row>
    <row r="38" spans="1:7" ht="15" customHeight="1" x14ac:dyDescent="0.3">
      <c r="C38"/>
      <c r="D38"/>
      <c r="E38"/>
      <c r="F38"/>
      <c r="G38"/>
    </row>
    <row r="39" spans="1:7" ht="15" customHeight="1" x14ac:dyDescent="0.3">
      <c r="C39"/>
      <c r="D39"/>
      <c r="E39"/>
      <c r="F39"/>
      <c r="G39"/>
    </row>
    <row r="40" spans="1:7" ht="15" customHeight="1" x14ac:dyDescent="0.3">
      <c r="C40"/>
      <c r="D40"/>
      <c r="E40"/>
      <c r="F40"/>
      <c r="G40"/>
    </row>
    <row r="41" spans="1:7" ht="15" customHeight="1" x14ac:dyDescent="0.3">
      <c r="C41"/>
      <c r="D41"/>
      <c r="E41"/>
      <c r="F41"/>
      <c r="G41"/>
    </row>
    <row r="42" spans="1:7" ht="15" customHeight="1" x14ac:dyDescent="0.3">
      <c r="C42"/>
      <c r="D42"/>
      <c r="E42"/>
      <c r="F42"/>
      <c r="G42"/>
    </row>
    <row r="43" spans="1:7" ht="15" customHeight="1" x14ac:dyDescent="0.3">
      <c r="A43" s="21" t="s">
        <v>186</v>
      </c>
      <c r="C43"/>
      <c r="D43"/>
      <c r="E43"/>
      <c r="F43"/>
      <c r="G43"/>
    </row>
    <row r="44" spans="1:7" ht="15" customHeight="1" x14ac:dyDescent="0.3">
      <c r="A44" s="21" t="s">
        <v>307</v>
      </c>
      <c r="C44"/>
      <c r="D44"/>
      <c r="E44"/>
      <c r="F44"/>
      <c r="G44"/>
    </row>
    <row r="45" spans="1:7" ht="15" customHeight="1" x14ac:dyDescent="0.3">
      <c r="A45" s="21" t="s">
        <v>332</v>
      </c>
      <c r="C45"/>
      <c r="D45"/>
      <c r="E45"/>
      <c r="F45"/>
      <c r="G45"/>
    </row>
    <row r="46" spans="1:7" ht="15" customHeight="1" x14ac:dyDescent="0.3">
      <c r="A46" s="21" t="s">
        <v>333</v>
      </c>
      <c r="C46"/>
      <c r="D46"/>
      <c r="E46"/>
      <c r="F46"/>
      <c r="G46"/>
    </row>
    <row r="47" spans="1:7" ht="15" customHeight="1" x14ac:dyDescent="0.3">
      <c r="A47" s="21" t="s">
        <v>205</v>
      </c>
      <c r="C47"/>
      <c r="D47"/>
      <c r="E47"/>
      <c r="F47"/>
      <c r="G47"/>
    </row>
    <row r="48" spans="1:7" ht="15" customHeight="1" x14ac:dyDescent="0.3">
      <c r="C48"/>
      <c r="D48"/>
      <c r="E48"/>
      <c r="F48"/>
      <c r="G48"/>
    </row>
    <row r="49" spans="1:7" ht="15" customHeight="1" x14ac:dyDescent="0.3">
      <c r="C49" t="s">
        <v>67</v>
      </c>
      <c r="D49" t="s">
        <v>68</v>
      </c>
      <c r="E49" t="s">
        <v>57</v>
      </c>
      <c r="F49" t="s">
        <v>69</v>
      </c>
      <c r="G49"/>
    </row>
    <row r="50" spans="1:7" ht="15" hidden="1" customHeight="1" x14ac:dyDescent="0.3">
      <c r="C50" s="52">
        <f ca="1">TODAY()-2</f>
        <v>45143</v>
      </c>
      <c r="D50" s="44" t="s">
        <v>70</v>
      </c>
      <c r="E50" s="45">
        <v>21</v>
      </c>
      <c r="F50" s="45">
        <v>3820</v>
      </c>
      <c r="G50"/>
    </row>
    <row r="51" spans="1:7" ht="15" hidden="1" customHeight="1" x14ac:dyDescent="0.3">
      <c r="C51" s="52">
        <f ca="1">TODAY()-3</f>
        <v>45142</v>
      </c>
      <c r="D51" s="44" t="s">
        <v>71</v>
      </c>
      <c r="E51" s="45">
        <v>62</v>
      </c>
      <c r="F51" s="45">
        <v>2112</v>
      </c>
      <c r="G51"/>
    </row>
    <row r="52" spans="1:7" ht="15" customHeight="1" x14ac:dyDescent="0.3">
      <c r="C52" s="52">
        <f ca="1">TODAY()</f>
        <v>45145</v>
      </c>
      <c r="D52" s="44" t="s">
        <v>72</v>
      </c>
      <c r="E52" s="45">
        <v>30</v>
      </c>
      <c r="F52" s="45">
        <v>3085</v>
      </c>
      <c r="G52"/>
    </row>
    <row r="53" spans="1:7" ht="15" hidden="1" customHeight="1" x14ac:dyDescent="0.3">
      <c r="C53" s="52">
        <f ca="1">TODAY()-6</f>
        <v>45139</v>
      </c>
      <c r="D53" s="44" t="s">
        <v>73</v>
      </c>
      <c r="E53" s="45">
        <v>25</v>
      </c>
      <c r="F53" s="45">
        <v>1611</v>
      </c>
      <c r="G53"/>
    </row>
    <row r="54" spans="1:7" ht="15" customHeight="1" x14ac:dyDescent="0.3">
      <c r="C54" s="52">
        <f ca="1">TODAY()-5</f>
        <v>45140</v>
      </c>
      <c r="D54" s="44" t="s">
        <v>74</v>
      </c>
      <c r="E54" s="45">
        <v>45</v>
      </c>
      <c r="F54" s="45">
        <v>5050</v>
      </c>
      <c r="G54"/>
    </row>
    <row r="55" spans="1:7" ht="15" hidden="1" customHeight="1" x14ac:dyDescent="0.3">
      <c r="C55" s="52">
        <f ca="1">TODAY()-4</f>
        <v>45141</v>
      </c>
      <c r="D55" s="44" t="s">
        <v>75</v>
      </c>
      <c r="E55" s="45">
        <v>69</v>
      </c>
      <c r="F55" s="45">
        <v>528</v>
      </c>
      <c r="G55"/>
    </row>
    <row r="56" spans="1:7" ht="15" customHeight="1" x14ac:dyDescent="0.3">
      <c r="G56"/>
    </row>
    <row r="57" spans="1:7" ht="15" customHeight="1" x14ac:dyDescent="0.3">
      <c r="G57"/>
    </row>
    <row r="58" spans="1:7" ht="15" customHeight="1" x14ac:dyDescent="0.3">
      <c r="G58"/>
    </row>
    <row r="59" spans="1:7" ht="15" customHeight="1" x14ac:dyDescent="0.3">
      <c r="G59"/>
    </row>
    <row r="60" spans="1:7" ht="15" customHeight="1" x14ac:dyDescent="0.3">
      <c r="A60" s="21" t="s">
        <v>113</v>
      </c>
      <c r="C60"/>
      <c r="D60"/>
      <c r="E60"/>
      <c r="F60"/>
      <c r="G60"/>
    </row>
    <row r="61" spans="1:7" ht="15" customHeight="1" x14ac:dyDescent="0.3">
      <c r="A61" s="21" t="s">
        <v>189</v>
      </c>
      <c r="C61"/>
      <c r="D61"/>
      <c r="E61"/>
      <c r="F61"/>
      <c r="G61"/>
    </row>
    <row r="62" spans="1:7" ht="15" customHeight="1" x14ac:dyDescent="0.3">
      <c r="A62" s="21" t="s">
        <v>190</v>
      </c>
      <c r="C62"/>
      <c r="D62"/>
      <c r="E62"/>
      <c r="F62"/>
      <c r="G62"/>
    </row>
    <row r="63" spans="1:7" ht="15" customHeight="1" x14ac:dyDescent="0.3">
      <c r="A63" s="21" t="s">
        <v>112</v>
      </c>
      <c r="C63"/>
      <c r="D63"/>
      <c r="E63"/>
      <c r="F63"/>
      <c r="G63"/>
    </row>
  </sheetData>
  <autoFilter ref="C5:G13" xr:uid="{5D7726EC-031A-46CC-B44D-4C8B0327EDB9}"/>
  <sortState xmlns:xlrd2="http://schemas.microsoft.com/office/spreadsheetml/2017/richdata2" ref="C6:G13">
    <sortCondition ref="C5"/>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topLeftCell="A52" zoomScaleNormal="100" zoomScalePageLayoutView="125" workbookViewId="0">
      <selection activeCell="G71" sqref="G71"/>
    </sheetView>
  </sheetViews>
  <sheetFormatPr defaultColWidth="8.88671875" defaultRowHeight="15" customHeight="1" x14ac:dyDescent="0.3"/>
  <cols>
    <col min="1" max="1" width="12.6640625" style="21" customWidth="1"/>
    <col min="2" max="2" width="82.88671875" style="1" customWidth="1"/>
    <col min="3" max="3" width="13.88671875" style="1" customWidth="1"/>
    <col min="4" max="4" width="11" style="1" customWidth="1"/>
    <col min="5" max="8" width="9.33203125" style="1" customWidth="1"/>
    <col min="9" max="16384" width="8.88671875" style="1"/>
  </cols>
  <sheetData>
    <row r="1" spans="1:8" ht="60" customHeight="1" x14ac:dyDescent="0.85">
      <c r="A1" s="21" t="s">
        <v>130</v>
      </c>
      <c r="B1" s="2"/>
      <c r="C1"/>
      <c r="D1"/>
      <c r="E1"/>
      <c r="F1"/>
      <c r="G1"/>
      <c r="H1"/>
    </row>
    <row r="2" spans="1:8" ht="15" customHeight="1" x14ac:dyDescent="0.3">
      <c r="A2" s="21" t="s">
        <v>191</v>
      </c>
      <c r="C2"/>
      <c r="D2"/>
      <c r="E2"/>
      <c r="F2"/>
      <c r="G2"/>
      <c r="H2"/>
    </row>
    <row r="3" spans="1:8" ht="15" customHeight="1" x14ac:dyDescent="0.45">
      <c r="A3" s="21" t="s">
        <v>233</v>
      </c>
      <c r="B3" s="3"/>
      <c r="C3"/>
      <c r="D3"/>
      <c r="E3"/>
      <c r="F3"/>
      <c r="G3"/>
      <c r="H3"/>
    </row>
    <row r="4" spans="1:8" ht="15" customHeight="1" x14ac:dyDescent="0.3">
      <c r="A4" s="21" t="s">
        <v>308</v>
      </c>
      <c r="C4"/>
      <c r="D4"/>
      <c r="E4"/>
      <c r="F4"/>
      <c r="G4"/>
      <c r="H4"/>
    </row>
    <row r="5" spans="1:8" s="4" customFormat="1" ht="15" customHeight="1" x14ac:dyDescent="0.3">
      <c r="A5" s="21" t="s">
        <v>192</v>
      </c>
      <c r="C5" t="s">
        <v>46</v>
      </c>
      <c r="D5" t="s">
        <v>26</v>
      </c>
      <c r="E5" t="s">
        <v>47</v>
      </c>
      <c r="F5" t="s">
        <v>48</v>
      </c>
      <c r="G5" t="s">
        <v>49</v>
      </c>
      <c r="H5"/>
    </row>
    <row r="6" spans="1:8" s="4" customFormat="1" ht="15" customHeight="1" x14ac:dyDescent="0.45">
      <c r="A6" s="21" t="s">
        <v>309</v>
      </c>
      <c r="B6" s="5"/>
      <c r="C6" t="s">
        <v>28</v>
      </c>
      <c r="D6" t="s">
        <v>50</v>
      </c>
      <c r="E6">
        <v>30000</v>
      </c>
      <c r="F6">
        <v>80000</v>
      </c>
      <c r="G6">
        <v>30000</v>
      </c>
      <c r="H6"/>
    </row>
    <row r="7" spans="1:8" s="4" customFormat="1" ht="15" customHeight="1" x14ac:dyDescent="0.3">
      <c r="A7" s="21" t="s">
        <v>334</v>
      </c>
      <c r="C7" t="s">
        <v>28</v>
      </c>
      <c r="D7" t="s">
        <v>0</v>
      </c>
      <c r="E7">
        <v>10000</v>
      </c>
      <c r="F7">
        <v>30000</v>
      </c>
      <c r="G7">
        <v>40000</v>
      </c>
      <c r="H7"/>
    </row>
    <row r="8" spans="1:8" s="4" customFormat="1" ht="15" customHeight="1" x14ac:dyDescent="0.3">
      <c r="A8" s="21" t="s">
        <v>234</v>
      </c>
      <c r="C8" t="s">
        <v>45</v>
      </c>
      <c r="D8" t="s">
        <v>51</v>
      </c>
      <c r="E8">
        <v>30000</v>
      </c>
      <c r="F8">
        <v>15000</v>
      </c>
      <c r="G8">
        <v>20000</v>
      </c>
      <c r="H8"/>
    </row>
    <row r="9" spans="1:8" s="4" customFormat="1" ht="15" customHeight="1" x14ac:dyDescent="0.3">
      <c r="A9" s="60" t="s">
        <v>335</v>
      </c>
      <c r="C9" t="s">
        <v>45</v>
      </c>
      <c r="D9" t="s">
        <v>52</v>
      </c>
      <c r="E9">
        <v>25000</v>
      </c>
      <c r="F9">
        <v>80000</v>
      </c>
      <c r="G9">
        <v>120000</v>
      </c>
      <c r="H9"/>
    </row>
    <row r="10" spans="1:8" s="4" customFormat="1" ht="15" customHeight="1" x14ac:dyDescent="0.3">
      <c r="A10" s="21" t="s">
        <v>118</v>
      </c>
      <c r="C10" t="s">
        <v>53</v>
      </c>
      <c r="D10" t="s">
        <v>65</v>
      </c>
      <c r="E10">
        <v>80000</v>
      </c>
      <c r="F10">
        <v>40000</v>
      </c>
      <c r="G10">
        <v>20000</v>
      </c>
      <c r="H10"/>
    </row>
    <row r="11" spans="1:8" s="4" customFormat="1" ht="15" customHeight="1" x14ac:dyDescent="0.3">
      <c r="A11" s="21"/>
      <c r="C11" t="s">
        <v>53</v>
      </c>
      <c r="D11" t="s">
        <v>54</v>
      </c>
      <c r="E11">
        <v>90000</v>
      </c>
      <c r="F11">
        <v>35000</v>
      </c>
      <c r="G11">
        <v>25000</v>
      </c>
      <c r="H11"/>
    </row>
    <row r="12" spans="1:8" s="4" customFormat="1" ht="15" customHeight="1" x14ac:dyDescent="0.3">
      <c r="A12" s="21"/>
      <c r="C12" t="s">
        <v>6</v>
      </c>
      <c r="D12" t="s">
        <v>7</v>
      </c>
      <c r="E12">
        <v>90000</v>
      </c>
      <c r="F12">
        <v>110000</v>
      </c>
      <c r="G12">
        <v>200000</v>
      </c>
      <c r="H12"/>
    </row>
    <row r="13" spans="1:8" s="4" customFormat="1" ht="15" customHeight="1" x14ac:dyDescent="0.3">
      <c r="A13" s="21"/>
      <c r="C13" t="s">
        <v>6</v>
      </c>
      <c r="D13" t="s">
        <v>8</v>
      </c>
      <c r="E13">
        <v>75000</v>
      </c>
      <c r="F13">
        <v>82000</v>
      </c>
      <c r="G13">
        <v>150000</v>
      </c>
      <c r="H13"/>
    </row>
    <row r="14" spans="1:8" s="4" customFormat="1" ht="15" customHeight="1" x14ac:dyDescent="0.3">
      <c r="A14" s="21"/>
      <c r="C14"/>
      <c r="D14"/>
      <c r="E14"/>
      <c r="F14"/>
      <c r="G14"/>
      <c r="H14"/>
    </row>
    <row r="15" spans="1:8" s="4" customFormat="1" ht="15" customHeight="1" x14ac:dyDescent="0.3">
      <c r="A15" s="21"/>
      <c r="C15"/>
      <c r="D15"/>
      <c r="E15"/>
      <c r="F15"/>
      <c r="G15"/>
      <c r="H15"/>
    </row>
    <row r="16" spans="1:8" s="4" customFormat="1" ht="15" customHeight="1" x14ac:dyDescent="0.3">
      <c r="A16" s="21"/>
      <c r="C16"/>
      <c r="D16"/>
      <c r="E16"/>
      <c r="F16"/>
      <c r="G16"/>
      <c r="H16"/>
    </row>
    <row r="17" spans="1:8" s="4" customFormat="1" ht="15" customHeight="1" x14ac:dyDescent="0.3">
      <c r="A17" s="21"/>
      <c r="C17"/>
      <c r="D17"/>
      <c r="E17"/>
      <c r="F17"/>
      <c r="G17"/>
      <c r="H17"/>
    </row>
    <row r="18" spans="1:8" s="4" customFormat="1" ht="15" customHeight="1" x14ac:dyDescent="0.3">
      <c r="A18" s="21"/>
      <c r="C18"/>
      <c r="D18"/>
      <c r="E18"/>
      <c r="F18"/>
      <c r="G18"/>
      <c r="H18"/>
    </row>
    <row r="19" spans="1:8" s="4" customFormat="1" ht="15" customHeight="1" x14ac:dyDescent="0.3">
      <c r="A19" s="21"/>
      <c r="C19"/>
      <c r="D19"/>
      <c r="E19"/>
      <c r="F19"/>
      <c r="G19"/>
      <c r="H19"/>
    </row>
    <row r="20" spans="1:8" s="4" customFormat="1" ht="15" customHeight="1" x14ac:dyDescent="0.3">
      <c r="A20" s="21"/>
      <c r="C20"/>
      <c r="D20"/>
      <c r="E20"/>
      <c r="F20"/>
      <c r="G20"/>
      <c r="H20"/>
    </row>
    <row r="21" spans="1:8" s="4" customFormat="1" ht="15" customHeight="1" x14ac:dyDescent="0.3">
      <c r="A21" s="21"/>
      <c r="C21"/>
      <c r="D21"/>
      <c r="E21"/>
      <c r="F21"/>
      <c r="G21"/>
      <c r="H21"/>
    </row>
    <row r="22" spans="1:8" s="4" customFormat="1" ht="15" customHeight="1" x14ac:dyDescent="0.3">
      <c r="A22" s="21"/>
    </row>
    <row r="23" spans="1:8" s="4" customFormat="1" ht="15" customHeight="1" x14ac:dyDescent="0.3">
      <c r="A23" s="21"/>
    </row>
    <row r="24" spans="1:8" s="4" customFormat="1" ht="15" customHeight="1" x14ac:dyDescent="0.3">
      <c r="A24" s="21"/>
    </row>
    <row r="27" spans="1:8" ht="15" customHeight="1" x14ac:dyDescent="0.3">
      <c r="A27" s="21" t="s">
        <v>193</v>
      </c>
      <c r="C27"/>
      <c r="D27"/>
      <c r="E27"/>
      <c r="F27"/>
      <c r="G27"/>
      <c r="H27"/>
    </row>
    <row r="28" spans="1:8" ht="15" customHeight="1" x14ac:dyDescent="0.3">
      <c r="A28" s="21" t="s">
        <v>194</v>
      </c>
      <c r="C28"/>
      <c r="D28"/>
      <c r="E28"/>
      <c r="F28"/>
      <c r="G28"/>
      <c r="H28"/>
    </row>
    <row r="29" spans="1:8" ht="15" customHeight="1" x14ac:dyDescent="0.3">
      <c r="A29" s="21" t="s">
        <v>310</v>
      </c>
      <c r="C29"/>
      <c r="D29"/>
      <c r="E29"/>
      <c r="F29"/>
      <c r="G29"/>
      <c r="H29"/>
    </row>
    <row r="30" spans="1:8" ht="15" customHeight="1" x14ac:dyDescent="0.3">
      <c r="A30" s="21" t="s">
        <v>235</v>
      </c>
      <c r="C30"/>
      <c r="D30"/>
      <c r="E30"/>
      <c r="F30"/>
      <c r="G30"/>
      <c r="H30"/>
    </row>
    <row r="31" spans="1:8" ht="15" customHeight="1" x14ac:dyDescent="0.3">
      <c r="A31" s="21" t="s">
        <v>311</v>
      </c>
      <c r="H31"/>
    </row>
    <row r="32" spans="1:8" ht="15" customHeight="1" x14ac:dyDescent="0.3">
      <c r="A32" s="21" t="s">
        <v>236</v>
      </c>
      <c r="H32"/>
    </row>
    <row r="33" spans="1:8" ht="15" customHeight="1" x14ac:dyDescent="0.3">
      <c r="A33" s="21" t="s">
        <v>195</v>
      </c>
      <c r="C33" s="37" t="s">
        <v>46</v>
      </c>
      <c r="D33" s="37" t="s">
        <v>26</v>
      </c>
      <c r="E33" s="37" t="s">
        <v>47</v>
      </c>
      <c r="F33" s="37" t="s">
        <v>48</v>
      </c>
      <c r="G33" s="37" t="s">
        <v>49</v>
      </c>
      <c r="H33" s="37" t="s">
        <v>55</v>
      </c>
    </row>
    <row r="34" spans="1:8" ht="15" customHeight="1" x14ac:dyDescent="0.3">
      <c r="C34" s="6" t="s">
        <v>28</v>
      </c>
      <c r="D34" s="6" t="s">
        <v>50</v>
      </c>
      <c r="E34" s="38">
        <v>30000</v>
      </c>
      <c r="F34" s="38">
        <v>80000</v>
      </c>
      <c r="G34" s="38">
        <v>30000</v>
      </c>
      <c r="H34" s="47">
        <f>SUM(CalculatedColumns[[#This Row],[Oct]:[Dec]])</f>
        <v>140000</v>
      </c>
    </row>
    <row r="35" spans="1:8" ht="15" customHeight="1" x14ac:dyDescent="0.3">
      <c r="C35" t="s">
        <v>28</v>
      </c>
      <c r="D35" t="s">
        <v>0</v>
      </c>
      <c r="E35" s="47">
        <v>10000</v>
      </c>
      <c r="F35" s="47">
        <v>30000</v>
      </c>
      <c r="G35" s="47">
        <v>40000</v>
      </c>
      <c r="H35" s="47">
        <f>SUM(CalculatedColumns[[#This Row],[Oct]:[Dec]])</f>
        <v>80000</v>
      </c>
    </row>
    <row r="36" spans="1:8" ht="15" customHeight="1" x14ac:dyDescent="0.3">
      <c r="C36" s="6" t="s">
        <v>45</v>
      </c>
      <c r="D36" s="6" t="s">
        <v>51</v>
      </c>
      <c r="E36" s="38">
        <v>30000</v>
      </c>
      <c r="F36" s="38">
        <v>15000</v>
      </c>
      <c r="G36" s="38">
        <v>20000</v>
      </c>
      <c r="H36" s="47">
        <f>SUM(CalculatedColumns[[#This Row],[Oct]:[Dec]])</f>
        <v>65000</v>
      </c>
    </row>
    <row r="37" spans="1:8" ht="15" customHeight="1" x14ac:dyDescent="0.3">
      <c r="C37" t="s">
        <v>45</v>
      </c>
      <c r="D37" t="s">
        <v>52</v>
      </c>
      <c r="E37" s="47">
        <v>25000</v>
      </c>
      <c r="F37" s="47">
        <v>80000</v>
      </c>
      <c r="G37" s="47">
        <v>120000</v>
      </c>
      <c r="H37" s="47">
        <f>SUM(CalculatedColumns[[#This Row],[Oct]:[Dec]])</f>
        <v>225000</v>
      </c>
    </row>
    <row r="38" spans="1:8" ht="15" customHeight="1" x14ac:dyDescent="0.3">
      <c r="C38" s="6" t="s">
        <v>53</v>
      </c>
      <c r="D38" s="6" t="s">
        <v>64</v>
      </c>
      <c r="E38" s="38">
        <v>80000</v>
      </c>
      <c r="F38" s="38">
        <v>40000</v>
      </c>
      <c r="G38" s="38">
        <v>20000</v>
      </c>
      <c r="H38" s="47">
        <f>SUM(CalculatedColumns[[#This Row],[Oct]:[Dec]])</f>
        <v>140000</v>
      </c>
    </row>
    <row r="39" spans="1:8" ht="15" customHeight="1" x14ac:dyDescent="0.3">
      <c r="C39" t="s">
        <v>53</v>
      </c>
      <c r="D39" t="s">
        <v>54</v>
      </c>
      <c r="E39" s="47">
        <v>90000</v>
      </c>
      <c r="F39" s="47">
        <v>35000</v>
      </c>
      <c r="G39" s="47">
        <v>25000</v>
      </c>
      <c r="H39" s="47">
        <f>SUM(CalculatedColumns[[#This Row],[Oct]:[Dec]])</f>
        <v>150000</v>
      </c>
    </row>
    <row r="40" spans="1:8" ht="15" customHeight="1" x14ac:dyDescent="0.3">
      <c r="C40" s="6" t="s">
        <v>6</v>
      </c>
      <c r="D40" s="6" t="s">
        <v>7</v>
      </c>
      <c r="E40" s="38">
        <v>90000</v>
      </c>
      <c r="F40" s="38">
        <v>110000</v>
      </c>
      <c r="G40" s="38">
        <v>200000</v>
      </c>
      <c r="H40" s="47">
        <f>SUM(CalculatedColumns[[#This Row],[Oct]:[Dec]])</f>
        <v>400000</v>
      </c>
    </row>
    <row r="41" spans="1:8" ht="15" customHeight="1" x14ac:dyDescent="0.3">
      <c r="C41" t="s">
        <v>6</v>
      </c>
      <c r="D41" t="s">
        <v>8</v>
      </c>
      <c r="E41" s="47">
        <v>75000</v>
      </c>
      <c r="F41" s="47">
        <v>82000</v>
      </c>
      <c r="G41" s="47">
        <v>150000</v>
      </c>
      <c r="H41" s="47">
        <f>SUM(CalculatedColumns[[#This Row],[Oct]:[Dec]])</f>
        <v>307000</v>
      </c>
    </row>
    <row r="42" spans="1:8" ht="15" customHeight="1" x14ac:dyDescent="0.3">
      <c r="C42"/>
      <c r="D42"/>
      <c r="E42"/>
      <c r="F42"/>
      <c r="G42"/>
      <c r="H42"/>
    </row>
    <row r="43" spans="1:8" ht="15" customHeight="1" x14ac:dyDescent="0.3">
      <c r="C43"/>
      <c r="D43"/>
      <c r="E43"/>
      <c r="F43"/>
      <c r="G43"/>
      <c r="H43"/>
    </row>
    <row r="44" spans="1:8" ht="15" customHeight="1" x14ac:dyDescent="0.3">
      <c r="C44"/>
      <c r="D44"/>
      <c r="E44"/>
      <c r="F44"/>
      <c r="G44"/>
      <c r="H44"/>
    </row>
    <row r="45" spans="1:8" ht="15" customHeight="1" x14ac:dyDescent="0.3">
      <c r="C45"/>
      <c r="D45"/>
      <c r="E45"/>
      <c r="F45"/>
      <c r="G45"/>
      <c r="H45"/>
    </row>
    <row r="46" spans="1:8" ht="15" customHeight="1" x14ac:dyDescent="0.3">
      <c r="C46"/>
      <c r="D46"/>
      <c r="E46"/>
      <c r="F46"/>
      <c r="G46"/>
      <c r="H46"/>
    </row>
    <row r="47" spans="1:8" ht="15" customHeight="1" x14ac:dyDescent="0.3">
      <c r="A47" s="21" t="s">
        <v>196</v>
      </c>
      <c r="C47"/>
      <c r="D47"/>
      <c r="E47"/>
      <c r="F47"/>
      <c r="G47"/>
      <c r="H47"/>
    </row>
    <row r="48" spans="1:8" ht="15" customHeight="1" x14ac:dyDescent="0.3">
      <c r="A48" s="21" t="s">
        <v>197</v>
      </c>
      <c r="C48"/>
      <c r="D48"/>
      <c r="E48"/>
      <c r="F48"/>
      <c r="G48"/>
      <c r="H48"/>
    </row>
    <row r="49" spans="1:8" ht="15" customHeight="1" x14ac:dyDescent="0.3">
      <c r="A49" s="21" t="s">
        <v>312</v>
      </c>
      <c r="C49"/>
      <c r="D49"/>
      <c r="E49"/>
      <c r="F49"/>
      <c r="G49"/>
      <c r="H49"/>
    </row>
    <row r="50" spans="1:8" ht="15" customHeight="1" x14ac:dyDescent="0.3">
      <c r="A50" s="21" t="s">
        <v>237</v>
      </c>
      <c r="C50"/>
      <c r="D50"/>
      <c r="E50"/>
      <c r="F50"/>
      <c r="G50"/>
      <c r="H50"/>
    </row>
    <row r="51" spans="1:8" ht="15" customHeight="1" x14ac:dyDescent="0.3">
      <c r="A51" s="21" t="s">
        <v>313</v>
      </c>
      <c r="C51"/>
      <c r="D51"/>
      <c r="E51"/>
      <c r="F51"/>
      <c r="G51"/>
      <c r="H51"/>
    </row>
    <row r="52" spans="1:8" ht="15" customHeight="1" x14ac:dyDescent="0.3">
      <c r="A52" s="21" t="s">
        <v>314</v>
      </c>
      <c r="C52"/>
      <c r="D52"/>
      <c r="E52"/>
      <c r="F52"/>
      <c r="G52"/>
      <c r="H52"/>
    </row>
    <row r="53" spans="1:8" ht="15" customHeight="1" x14ac:dyDescent="0.3">
      <c r="A53" s="21" t="s">
        <v>315</v>
      </c>
      <c r="C53" s="37" t="s">
        <v>46</v>
      </c>
      <c r="D53" s="37" t="s">
        <v>26</v>
      </c>
      <c r="E53" s="37" t="s">
        <v>56</v>
      </c>
      <c r="F53"/>
      <c r="G53"/>
      <c r="H53"/>
    </row>
    <row r="54" spans="1:8" ht="15" customHeight="1" x14ac:dyDescent="0.3">
      <c r="A54" s="21" t="s">
        <v>238</v>
      </c>
      <c r="C54" s="6" t="s">
        <v>28</v>
      </c>
      <c r="D54" s="6" t="s">
        <v>50</v>
      </c>
      <c r="E54" s="47">
        <v>1000</v>
      </c>
      <c r="F54"/>
      <c r="G54"/>
      <c r="H54"/>
    </row>
    <row r="55" spans="1:8" ht="15" customHeight="1" x14ac:dyDescent="0.3">
      <c r="A55" s="21" t="s">
        <v>316</v>
      </c>
      <c r="C55" t="s">
        <v>28</v>
      </c>
      <c r="D55" t="s">
        <v>0</v>
      </c>
      <c r="E55" s="47">
        <v>2000</v>
      </c>
      <c r="F55"/>
      <c r="G55"/>
      <c r="H55"/>
    </row>
    <row r="56" spans="1:8" ht="15" customHeight="1" x14ac:dyDescent="0.3">
      <c r="A56" s="21" t="s">
        <v>239</v>
      </c>
      <c r="C56" s="6" t="s">
        <v>45</v>
      </c>
      <c r="D56" s="6" t="s">
        <v>51</v>
      </c>
      <c r="E56" s="47">
        <v>3000</v>
      </c>
      <c r="F56"/>
      <c r="G56"/>
      <c r="H56"/>
    </row>
    <row r="57" spans="1:8" ht="15" customHeight="1" x14ac:dyDescent="0.3">
      <c r="A57" s="21" t="s">
        <v>181</v>
      </c>
      <c r="C57" t="s">
        <v>45</v>
      </c>
      <c r="D57" t="s">
        <v>52</v>
      </c>
      <c r="E57" s="47">
        <v>1000</v>
      </c>
      <c r="F57"/>
      <c r="G57"/>
      <c r="H57"/>
    </row>
    <row r="58" spans="1:8" ht="15" customHeight="1" x14ac:dyDescent="0.3">
      <c r="C58" s="6" t="s">
        <v>53</v>
      </c>
      <c r="D58" s="6" t="s">
        <v>64</v>
      </c>
      <c r="E58" s="47">
        <v>2000</v>
      </c>
      <c r="F58"/>
      <c r="G58"/>
      <c r="H58"/>
    </row>
    <row r="59" spans="1:8" ht="15" customHeight="1" x14ac:dyDescent="0.3">
      <c r="C59" t="s">
        <v>53</v>
      </c>
      <c r="D59" t="s">
        <v>54</v>
      </c>
      <c r="E59" s="47">
        <v>3000</v>
      </c>
    </row>
    <row r="60" spans="1:8" ht="15" customHeight="1" x14ac:dyDescent="0.3">
      <c r="C60" s="6" t="s">
        <v>6</v>
      </c>
      <c r="D60" s="6" t="s">
        <v>7</v>
      </c>
      <c r="E60" s="47">
        <v>4000</v>
      </c>
    </row>
    <row r="61" spans="1:8" ht="15" customHeight="1" x14ac:dyDescent="0.3">
      <c r="C61" t="s">
        <v>6</v>
      </c>
      <c r="D61" t="s">
        <v>8</v>
      </c>
      <c r="E61" s="47">
        <v>8000</v>
      </c>
    </row>
    <row r="62" spans="1:8" ht="15" customHeight="1" x14ac:dyDescent="0.3">
      <c r="E62" s="63">
        <f>SUBTOTAL(109,TotalRows[Sales])</f>
        <v>24000</v>
      </c>
    </row>
    <row r="69" spans="1:8" ht="15" customHeight="1" x14ac:dyDescent="0.3">
      <c r="B69"/>
      <c r="C69"/>
      <c r="D69"/>
      <c r="E69"/>
      <c r="F69"/>
      <c r="G69"/>
      <c r="H69"/>
    </row>
    <row r="70" spans="1:8" ht="15" customHeight="1" x14ac:dyDescent="0.3">
      <c r="B70"/>
      <c r="C70"/>
      <c r="D70"/>
      <c r="E70"/>
      <c r="F70"/>
      <c r="G70"/>
      <c r="H70"/>
    </row>
    <row r="71" spans="1:8" ht="15" customHeight="1" x14ac:dyDescent="0.3">
      <c r="B71"/>
      <c r="C71"/>
      <c r="D71"/>
      <c r="E71"/>
      <c r="F71"/>
      <c r="G71"/>
      <c r="H71"/>
    </row>
    <row r="72" spans="1:8" ht="15" customHeight="1" x14ac:dyDescent="0.3">
      <c r="A72" s="21" t="s">
        <v>113</v>
      </c>
      <c r="B72"/>
      <c r="C72"/>
      <c r="D72"/>
      <c r="E72"/>
      <c r="F72"/>
      <c r="G72"/>
      <c r="H72"/>
    </row>
    <row r="73" spans="1:8" ht="15" customHeight="1" x14ac:dyDescent="0.3">
      <c r="A73" s="21" t="s">
        <v>198</v>
      </c>
      <c r="B73"/>
      <c r="C73"/>
      <c r="D73"/>
      <c r="E73"/>
      <c r="F73"/>
      <c r="G73"/>
      <c r="H73"/>
    </row>
    <row r="74" spans="1:8" ht="15" customHeight="1" x14ac:dyDescent="0.3">
      <c r="A74" s="21" t="s">
        <v>199</v>
      </c>
      <c r="B74"/>
      <c r="C74"/>
      <c r="D74"/>
      <c r="E74"/>
      <c r="F74"/>
      <c r="G74"/>
      <c r="H74"/>
    </row>
    <row r="75" spans="1:8" ht="15" customHeight="1" x14ac:dyDescent="0.3">
      <c r="A75" s="21" t="s">
        <v>200</v>
      </c>
      <c r="B75"/>
      <c r="C75"/>
      <c r="D75"/>
      <c r="E75"/>
      <c r="F75"/>
      <c r="G75"/>
      <c r="H75"/>
    </row>
    <row r="76" spans="1:8" ht="15" customHeight="1" x14ac:dyDescent="0.3">
      <c r="A76" s="21" t="s">
        <v>112</v>
      </c>
      <c r="B76" t="s">
        <v>169</v>
      </c>
      <c r="C76"/>
      <c r="D76"/>
      <c r="E76"/>
      <c r="F76"/>
      <c r="G76"/>
      <c r="H76"/>
    </row>
  </sheetData>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3">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tabSelected="1" topLeftCell="B28" zoomScaleNormal="100" zoomScalePageLayoutView="125" workbookViewId="0">
      <selection activeCell="E51" sqref="E51"/>
    </sheetView>
  </sheetViews>
  <sheetFormatPr defaultColWidth="8.88671875" defaultRowHeight="15" customHeight="1" x14ac:dyDescent="0.3"/>
  <cols>
    <col min="1" max="1" width="12.6640625" style="21" customWidth="1"/>
    <col min="2" max="2" width="82.88671875" style="17" customWidth="1"/>
    <col min="3" max="4" width="11.6640625" style="1" customWidth="1"/>
    <col min="5" max="6" width="13.88671875" style="1" customWidth="1"/>
    <col min="7" max="16384" width="8.88671875" style="1"/>
  </cols>
  <sheetData>
    <row r="1" spans="1:6" ht="60" customHeight="1" x14ac:dyDescent="0.3">
      <c r="A1" s="21" t="s">
        <v>131</v>
      </c>
      <c r="C1"/>
      <c r="D1"/>
      <c r="E1"/>
      <c r="F1"/>
    </row>
    <row r="2" spans="1:6" ht="15" customHeight="1" x14ac:dyDescent="0.3">
      <c r="A2" s="21" t="s">
        <v>201</v>
      </c>
      <c r="C2"/>
      <c r="D2"/>
      <c r="E2"/>
      <c r="F2"/>
    </row>
    <row r="3" spans="1:6" ht="15" customHeight="1" x14ac:dyDescent="0.3">
      <c r="A3" s="21" t="s">
        <v>317</v>
      </c>
      <c r="C3" s="37" t="s">
        <v>57</v>
      </c>
      <c r="D3" s="37" t="s">
        <v>46</v>
      </c>
      <c r="E3"/>
      <c r="F3"/>
    </row>
    <row r="4" spans="1:6" ht="15" customHeight="1" x14ac:dyDescent="0.3">
      <c r="A4" s="21" t="s">
        <v>202</v>
      </c>
      <c r="C4" s="7" t="s">
        <v>2</v>
      </c>
      <c r="D4" s="8" t="s">
        <v>28</v>
      </c>
      <c r="E4"/>
      <c r="F4"/>
    </row>
    <row r="5" spans="1:6" s="4" customFormat="1" ht="15" customHeight="1" x14ac:dyDescent="0.3">
      <c r="A5" s="21" t="s">
        <v>318</v>
      </c>
      <c r="B5" s="17"/>
      <c r="C5" s="7" t="s">
        <v>7</v>
      </c>
      <c r="D5" s="8" t="s">
        <v>45</v>
      </c>
      <c r="F5"/>
    </row>
    <row r="6" spans="1:6" s="4" customFormat="1" ht="15" customHeight="1" x14ac:dyDescent="0.3">
      <c r="A6" s="21" t="s">
        <v>243</v>
      </c>
      <c r="B6" s="17"/>
      <c r="C6" s="7" t="s">
        <v>4</v>
      </c>
      <c r="D6" s="8"/>
      <c r="F6"/>
    </row>
    <row r="7" spans="1:6" s="4" customFormat="1" ht="15" customHeight="1" x14ac:dyDescent="0.3">
      <c r="A7" s="21" t="s">
        <v>319</v>
      </c>
      <c r="B7" s="17"/>
      <c r="C7" s="7" t="s">
        <v>5</v>
      </c>
      <c r="D7" s="8" t="s">
        <v>45</v>
      </c>
      <c r="F7"/>
    </row>
    <row r="8" spans="1:6" s="4" customFormat="1" ht="15" customHeight="1" x14ac:dyDescent="0.3">
      <c r="A8" s="21" t="s">
        <v>336</v>
      </c>
      <c r="B8" s="17"/>
      <c r="C8" s="7" t="s">
        <v>58</v>
      </c>
      <c r="D8" s="8"/>
      <c r="F8"/>
    </row>
    <row r="9" spans="1:6" s="4" customFormat="1" ht="15" customHeight="1" x14ac:dyDescent="0.3">
      <c r="A9" s="21" t="s">
        <v>240</v>
      </c>
      <c r="B9" s="17"/>
      <c r="C9" s="7" t="s">
        <v>59</v>
      </c>
      <c r="D9" s="8"/>
      <c r="F9"/>
    </row>
    <row r="10" spans="1:6" s="4" customFormat="1" ht="15" customHeight="1" x14ac:dyDescent="0.3">
      <c r="A10" s="21" t="s">
        <v>118</v>
      </c>
      <c r="B10" s="17"/>
      <c r="C10" s="7" t="s">
        <v>60</v>
      </c>
      <c r="D10" s="8"/>
      <c r="F10"/>
    </row>
    <row r="11" spans="1:6" s="4" customFormat="1" ht="15" customHeight="1" x14ac:dyDescent="0.3">
      <c r="A11" s="21"/>
      <c r="B11" s="17"/>
      <c r="C11" s="7" t="s">
        <v>12</v>
      </c>
      <c r="D11" s="8"/>
      <c r="F11"/>
    </row>
    <row r="12" spans="1:6" s="4" customFormat="1" ht="15" customHeight="1" x14ac:dyDescent="0.3">
      <c r="A12" s="21"/>
      <c r="B12" s="17"/>
      <c r="C12" s="7" t="s">
        <v>8</v>
      </c>
      <c r="D12" s="8"/>
      <c r="F12"/>
    </row>
    <row r="13" spans="1:6" s="4" customFormat="1" ht="15" customHeight="1" x14ac:dyDescent="0.3">
      <c r="A13" s="21"/>
      <c r="B13" s="17"/>
      <c r="C13" s="7" t="s">
        <v>14</v>
      </c>
      <c r="D13" s="8"/>
      <c r="F13"/>
    </row>
    <row r="14" spans="1:6" s="4" customFormat="1" ht="15" customHeight="1" x14ac:dyDescent="0.3">
      <c r="A14" s="21"/>
      <c r="B14" s="17"/>
      <c r="C14" s="7" t="s">
        <v>15</v>
      </c>
      <c r="D14" s="8"/>
      <c r="F14"/>
    </row>
    <row r="15" spans="1:6" s="4" customFormat="1" ht="15" customHeight="1" x14ac:dyDescent="0.3">
      <c r="A15" s="21"/>
      <c r="B15" s="17"/>
      <c r="C15" s="7" t="s">
        <v>16</v>
      </c>
      <c r="D15" s="8"/>
      <c r="F15"/>
    </row>
    <row r="16" spans="1:6" s="4" customFormat="1" ht="15" customHeight="1" x14ac:dyDescent="0.3">
      <c r="A16" s="21"/>
      <c r="B16" s="17"/>
    </row>
    <row r="17" spans="1:6" s="4" customFormat="1" ht="15" customHeight="1" x14ac:dyDescent="0.3">
      <c r="A17" s="21"/>
      <c r="B17" s="17"/>
    </row>
    <row r="18" spans="1:6" s="4" customFormat="1" ht="15" customHeight="1" x14ac:dyDescent="0.3">
      <c r="A18" s="21"/>
      <c r="B18" s="17"/>
      <c r="C18"/>
      <c r="D18"/>
      <c r="E18"/>
      <c r="F18"/>
    </row>
    <row r="19" spans="1:6" s="4" customFormat="1" ht="15" customHeight="1" x14ac:dyDescent="0.3">
      <c r="A19" s="21"/>
      <c r="B19" s="17"/>
      <c r="C19"/>
      <c r="D19"/>
      <c r="E19"/>
      <c r="F19"/>
    </row>
    <row r="20" spans="1:6" s="4" customFormat="1" ht="15" customHeight="1" x14ac:dyDescent="0.3">
      <c r="A20" s="21"/>
      <c r="B20" s="17"/>
      <c r="C20"/>
      <c r="D20"/>
      <c r="E20"/>
      <c r="F20"/>
    </row>
    <row r="21" spans="1:6" s="4" customFormat="1" ht="15" customHeight="1" x14ac:dyDescent="0.3">
      <c r="A21" s="21"/>
      <c r="B21" s="17"/>
      <c r="C21"/>
      <c r="D21"/>
      <c r="E21"/>
      <c r="F21"/>
    </row>
    <row r="22" spans="1:6" s="4" customFormat="1" ht="15" customHeight="1" x14ac:dyDescent="0.3">
      <c r="A22" s="21"/>
      <c r="B22" s="17"/>
    </row>
    <row r="23" spans="1:6" s="4" customFormat="1" ht="15" customHeight="1" x14ac:dyDescent="0.3">
      <c r="A23" s="21"/>
      <c r="B23" s="17"/>
    </row>
    <row r="24" spans="1:6" s="4" customFormat="1" ht="15" customHeight="1" x14ac:dyDescent="0.3">
      <c r="A24" s="21"/>
      <c r="B24" s="17"/>
    </row>
    <row r="27" spans="1:6" ht="15" customHeight="1" x14ac:dyDescent="0.3">
      <c r="A27" s="21" t="s">
        <v>203</v>
      </c>
    </row>
    <row r="28" spans="1:6" ht="15" customHeight="1" x14ac:dyDescent="0.3">
      <c r="A28" s="21" t="s">
        <v>204</v>
      </c>
    </row>
    <row r="29" spans="1:6" ht="15" customHeight="1" x14ac:dyDescent="0.3">
      <c r="A29" s="21" t="s">
        <v>320</v>
      </c>
      <c r="C29"/>
      <c r="D29"/>
      <c r="E29"/>
      <c r="F29"/>
    </row>
    <row r="30" spans="1:6" ht="15" customHeight="1" x14ac:dyDescent="0.3">
      <c r="A30" s="21" t="s">
        <v>241</v>
      </c>
      <c r="C30"/>
      <c r="D30"/>
      <c r="F30"/>
    </row>
    <row r="31" spans="1:6" ht="15" customHeight="1" x14ac:dyDescent="0.3">
      <c r="A31" s="21" t="s">
        <v>244</v>
      </c>
      <c r="C31" s="37" t="s">
        <v>57</v>
      </c>
      <c r="D31" s="37" t="s">
        <v>46</v>
      </c>
      <c r="F31" s="55" t="s">
        <v>46</v>
      </c>
    </row>
    <row r="32" spans="1:6" ht="15" customHeight="1" x14ac:dyDescent="0.3">
      <c r="A32" s="21" t="s">
        <v>242</v>
      </c>
      <c r="C32" s="7" t="s">
        <v>2</v>
      </c>
      <c r="D32" s="7"/>
      <c r="F32" s="18" t="s">
        <v>28</v>
      </c>
    </row>
    <row r="33" spans="1:6" ht="15" customHeight="1" x14ac:dyDescent="0.3">
      <c r="A33" s="21" t="s">
        <v>245</v>
      </c>
      <c r="C33" s="7" t="s">
        <v>7</v>
      </c>
      <c r="D33" s="7"/>
      <c r="F33" s="7" t="s">
        <v>6</v>
      </c>
    </row>
    <row r="34" spans="1:6" ht="15" customHeight="1" x14ac:dyDescent="0.3">
      <c r="A34" s="21" t="s">
        <v>321</v>
      </c>
      <c r="C34" s="7" t="s">
        <v>4</v>
      </c>
      <c r="D34" s="7"/>
      <c r="F34" s="18" t="s">
        <v>45</v>
      </c>
    </row>
    <row r="35" spans="1:6" ht="15" customHeight="1" x14ac:dyDescent="0.3">
      <c r="A35" s="21" t="s">
        <v>246</v>
      </c>
      <c r="C35" s="7" t="s">
        <v>5</v>
      </c>
      <c r="D35" s="7"/>
      <c r="F35"/>
    </row>
    <row r="36" spans="1:6" ht="15" customHeight="1" x14ac:dyDescent="0.3">
      <c r="A36" s="21" t="s">
        <v>247</v>
      </c>
      <c r="C36" s="7" t="s">
        <v>58</v>
      </c>
      <c r="D36" s="7"/>
      <c r="E36"/>
      <c r="F36"/>
    </row>
    <row r="37" spans="1:6" ht="15" customHeight="1" x14ac:dyDescent="0.3">
      <c r="A37" s="21" t="s">
        <v>248</v>
      </c>
      <c r="C37" s="7" t="s">
        <v>59</v>
      </c>
      <c r="D37" s="7"/>
      <c r="E37"/>
      <c r="F37"/>
    </row>
    <row r="38" spans="1:6" ht="15" customHeight="1" x14ac:dyDescent="0.3">
      <c r="A38" s="21" t="s">
        <v>205</v>
      </c>
      <c r="C38" s="7" t="s">
        <v>60</v>
      </c>
      <c r="D38" s="7"/>
      <c r="E38"/>
      <c r="F38"/>
    </row>
    <row r="39" spans="1:6" ht="15" customHeight="1" x14ac:dyDescent="0.3">
      <c r="C39" s="7" t="s">
        <v>12</v>
      </c>
      <c r="D39" s="7"/>
      <c r="E39"/>
      <c r="F39"/>
    </row>
    <row r="40" spans="1:6" ht="15" customHeight="1" x14ac:dyDescent="0.3">
      <c r="C40" s="7" t="s">
        <v>8</v>
      </c>
      <c r="D40" s="7"/>
      <c r="E40"/>
      <c r="F40"/>
    </row>
    <row r="41" spans="1:6" ht="15" customHeight="1" x14ac:dyDescent="0.3">
      <c r="C41" s="7" t="s">
        <v>14</v>
      </c>
      <c r="D41" s="7"/>
      <c r="E41"/>
      <c r="F41"/>
    </row>
    <row r="42" spans="1:6" ht="15" customHeight="1" x14ac:dyDescent="0.3">
      <c r="C42" s="7" t="s">
        <v>15</v>
      </c>
      <c r="D42" s="7"/>
      <c r="E42"/>
      <c r="F42"/>
    </row>
    <row r="43" spans="1:6" ht="15" customHeight="1" x14ac:dyDescent="0.3">
      <c r="C43" s="7" t="s">
        <v>16</v>
      </c>
      <c r="D43" s="7"/>
      <c r="E43"/>
      <c r="F43"/>
    </row>
    <row r="44" spans="1:6" ht="15" customHeight="1" x14ac:dyDescent="0.3">
      <c r="D44"/>
      <c r="E44"/>
      <c r="F44"/>
    </row>
    <row r="45" spans="1:6" ht="15" customHeight="1" x14ac:dyDescent="0.3">
      <c r="C45"/>
      <c r="D45"/>
      <c r="E45"/>
      <c r="F45"/>
    </row>
    <row r="46" spans="1:6" ht="15" customHeight="1" x14ac:dyDescent="0.3">
      <c r="C46"/>
      <c r="D46"/>
      <c r="E46"/>
      <c r="F46"/>
    </row>
    <row r="47" spans="1:6" ht="15" customHeight="1" x14ac:dyDescent="0.3">
      <c r="C47"/>
      <c r="D47"/>
      <c r="E47"/>
      <c r="F47"/>
    </row>
    <row r="48" spans="1:6" ht="15" customHeight="1" x14ac:dyDescent="0.3">
      <c r="C48"/>
      <c r="D48"/>
      <c r="E48"/>
      <c r="F48"/>
    </row>
    <row r="49" spans="1:6" ht="15" customHeight="1" x14ac:dyDescent="0.3">
      <c r="C49"/>
      <c r="D49"/>
      <c r="E49"/>
      <c r="F49"/>
    </row>
    <row r="50" spans="1:6" ht="15" customHeight="1" x14ac:dyDescent="0.3">
      <c r="C50"/>
      <c r="D50"/>
      <c r="E50"/>
      <c r="F50"/>
    </row>
    <row r="51" spans="1:6" ht="15" customHeight="1" x14ac:dyDescent="0.3">
      <c r="C51"/>
      <c r="D51"/>
      <c r="E51"/>
      <c r="F51"/>
    </row>
    <row r="52" spans="1:6" ht="15" customHeight="1" x14ac:dyDescent="0.3">
      <c r="C52"/>
      <c r="D52"/>
      <c r="E52"/>
      <c r="F52"/>
    </row>
    <row r="53" spans="1:6" ht="15" customHeight="1" x14ac:dyDescent="0.3">
      <c r="C53"/>
      <c r="D53"/>
      <c r="E53"/>
      <c r="F53"/>
    </row>
    <row r="54" spans="1:6" ht="15" customHeight="1" x14ac:dyDescent="0.3">
      <c r="C54"/>
      <c r="D54"/>
      <c r="E54"/>
      <c r="F54"/>
    </row>
    <row r="55" spans="1:6" ht="15" customHeight="1" x14ac:dyDescent="0.3">
      <c r="C55"/>
      <c r="D55"/>
      <c r="E55"/>
      <c r="F55"/>
    </row>
    <row r="56" spans="1:6" ht="15" customHeight="1" x14ac:dyDescent="0.3">
      <c r="C56"/>
      <c r="D56"/>
      <c r="E56"/>
      <c r="F56"/>
    </row>
    <row r="57" spans="1:6" ht="15" customHeight="1" x14ac:dyDescent="0.3">
      <c r="C57"/>
      <c r="D57"/>
      <c r="E57"/>
      <c r="F57"/>
    </row>
    <row r="60" spans="1:6" ht="15" customHeight="1" x14ac:dyDescent="0.3">
      <c r="A60" s="21" t="s">
        <v>113</v>
      </c>
      <c r="C60"/>
      <c r="D60"/>
      <c r="E60"/>
      <c r="F60"/>
    </row>
    <row r="61" spans="1:6" ht="15" customHeight="1" x14ac:dyDescent="0.3">
      <c r="A61" s="21" t="s">
        <v>206</v>
      </c>
      <c r="C61"/>
      <c r="D61"/>
      <c r="E61"/>
      <c r="F61"/>
    </row>
    <row r="62" spans="1:6" ht="15" customHeight="1" x14ac:dyDescent="0.3">
      <c r="A62" s="21" t="s">
        <v>207</v>
      </c>
      <c r="C62"/>
      <c r="D62"/>
      <c r="E62"/>
      <c r="F62"/>
    </row>
    <row r="63" spans="1:6" ht="15" customHeight="1" x14ac:dyDescent="0.3">
      <c r="A63" s="21" t="s">
        <v>112</v>
      </c>
      <c r="C63"/>
      <c r="D63"/>
      <c r="E63"/>
      <c r="F63"/>
    </row>
  </sheetData>
  <dataValidations count="2">
    <dataValidation type="list" allowBlank="1" showInputMessage="1" showErrorMessage="1" sqref="D4:D15" xr:uid="{D51BD1FF-3EA5-47A7-A7D8-C2A1F30FCFA2}">
      <formula1>"Produce,Meat,Bakery"</formula1>
    </dataValidation>
    <dataValidation type="list" allowBlank="1" showInputMessage="1" showErrorMessage="1" sqref="D32:D43" xr:uid="{44C603BB-E924-45DC-A86A-C173177C69AF}">
      <formula1>$F$32:$F$34</formula1>
    </dataValidation>
  </dataValidations>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election activeCell="J61" sqref="J61"/>
    </sheetView>
  </sheetViews>
  <sheetFormatPr defaultColWidth="8.88671875" defaultRowHeight="15" customHeight="1" x14ac:dyDescent="0.3"/>
  <cols>
    <col min="1" max="1" width="12.6640625" style="21" customWidth="1"/>
    <col min="2" max="2" width="82.88671875" style="17" customWidth="1"/>
    <col min="3" max="3" width="13.88671875" style="1" customWidth="1"/>
    <col min="4" max="4" width="11" style="1" customWidth="1"/>
    <col min="5" max="5" width="10.88671875" style="1" customWidth="1"/>
    <col min="6" max="7" width="11.88671875" style="1" customWidth="1"/>
    <col min="8" max="16384" width="8.88671875" style="1"/>
  </cols>
  <sheetData>
    <row r="1" spans="1:7" ht="60" customHeight="1" x14ac:dyDescent="0.3">
      <c r="A1" s="21" t="s">
        <v>132</v>
      </c>
      <c r="C1"/>
      <c r="D1"/>
      <c r="E1"/>
      <c r="F1"/>
      <c r="G1"/>
    </row>
    <row r="2" spans="1:7" ht="15" customHeight="1" x14ac:dyDescent="0.3">
      <c r="A2" s="21" t="s">
        <v>208</v>
      </c>
      <c r="C2"/>
      <c r="D2"/>
      <c r="E2"/>
      <c r="F2"/>
      <c r="G2"/>
    </row>
    <row r="3" spans="1:7" ht="15" customHeight="1" x14ac:dyDescent="0.3">
      <c r="A3" s="21" t="s">
        <v>322</v>
      </c>
      <c r="C3"/>
      <c r="D3"/>
      <c r="E3"/>
      <c r="F3"/>
      <c r="G3"/>
    </row>
    <row r="4" spans="1:7" ht="15" customHeight="1" x14ac:dyDescent="0.3">
      <c r="A4" s="21" t="s">
        <v>253</v>
      </c>
      <c r="C4"/>
      <c r="D4"/>
      <c r="E4"/>
      <c r="F4"/>
      <c r="G4"/>
    </row>
    <row r="5" spans="1:7" s="4" customFormat="1" ht="15" customHeight="1" x14ac:dyDescent="0.3">
      <c r="A5" s="21" t="s">
        <v>350</v>
      </c>
      <c r="B5" s="17"/>
      <c r="C5" t="s">
        <v>46</v>
      </c>
      <c r="D5" t="s">
        <v>26</v>
      </c>
      <c r="E5" t="s">
        <v>47</v>
      </c>
      <c r="F5" t="s">
        <v>48</v>
      </c>
      <c r="G5" t="s">
        <v>49</v>
      </c>
    </row>
    <row r="6" spans="1:7" s="4" customFormat="1" ht="15" customHeight="1" x14ac:dyDescent="0.3">
      <c r="A6" s="21" t="s">
        <v>249</v>
      </c>
      <c r="B6" s="17"/>
      <c r="C6" t="s">
        <v>28</v>
      </c>
      <c r="D6" t="s">
        <v>50</v>
      </c>
      <c r="E6" s="47">
        <v>30000</v>
      </c>
      <c r="F6" s="47">
        <v>80000</v>
      </c>
      <c r="G6" s="47">
        <v>30000</v>
      </c>
    </row>
    <row r="7" spans="1:7" s="4" customFormat="1" ht="15" customHeight="1" x14ac:dyDescent="0.3">
      <c r="A7" s="21" t="s">
        <v>250</v>
      </c>
      <c r="B7" s="17"/>
      <c r="C7" t="s">
        <v>28</v>
      </c>
      <c r="D7" t="s">
        <v>0</v>
      </c>
      <c r="E7" s="47">
        <v>10000</v>
      </c>
      <c r="F7" s="47">
        <v>30000</v>
      </c>
      <c r="G7" s="47">
        <v>40000</v>
      </c>
    </row>
    <row r="8" spans="1:7" s="4" customFormat="1" ht="15" customHeight="1" x14ac:dyDescent="0.3">
      <c r="A8" s="21" t="s">
        <v>351</v>
      </c>
      <c r="B8" s="17"/>
      <c r="C8" t="s">
        <v>45</v>
      </c>
      <c r="D8" t="s">
        <v>51</v>
      </c>
      <c r="E8" s="47">
        <v>30000</v>
      </c>
      <c r="F8" s="47">
        <v>15000</v>
      </c>
      <c r="G8" s="47">
        <v>20000</v>
      </c>
    </row>
    <row r="9" spans="1:7" s="4" customFormat="1" ht="15" customHeight="1" x14ac:dyDescent="0.3">
      <c r="A9" s="21" t="s">
        <v>251</v>
      </c>
      <c r="B9" s="17"/>
      <c r="C9" t="s">
        <v>45</v>
      </c>
      <c r="D9" t="s">
        <v>52</v>
      </c>
      <c r="E9" s="47">
        <v>25000</v>
      </c>
      <c r="F9" s="47">
        <v>80000</v>
      </c>
      <c r="G9" s="47">
        <v>120000</v>
      </c>
    </row>
    <row r="10" spans="1:7" s="4" customFormat="1" ht="15" customHeight="1" x14ac:dyDescent="0.3">
      <c r="A10" s="21" t="s">
        <v>118</v>
      </c>
      <c r="B10" s="17"/>
      <c r="C10" t="s">
        <v>53</v>
      </c>
      <c r="D10" t="s">
        <v>65</v>
      </c>
      <c r="E10" s="47">
        <v>80000</v>
      </c>
      <c r="F10" s="47">
        <v>40000</v>
      </c>
      <c r="G10" s="47">
        <v>20000</v>
      </c>
    </row>
    <row r="11" spans="1:7" s="4" customFormat="1" ht="15" customHeight="1" x14ac:dyDescent="0.3">
      <c r="A11" s="21"/>
      <c r="B11" s="17"/>
      <c r="C11" t="s">
        <v>53</v>
      </c>
      <c r="D11" t="s">
        <v>54</v>
      </c>
      <c r="E11" s="47">
        <v>90000</v>
      </c>
      <c r="F11" s="47">
        <v>35000</v>
      </c>
      <c r="G11" s="47">
        <v>25000</v>
      </c>
    </row>
    <row r="12" spans="1:7" s="4" customFormat="1" ht="15" customHeight="1" x14ac:dyDescent="0.3">
      <c r="A12" s="21"/>
      <c r="B12" s="17"/>
      <c r="C12" t="s">
        <v>6</v>
      </c>
      <c r="D12" t="s">
        <v>7</v>
      </c>
      <c r="E12" s="47">
        <v>90000</v>
      </c>
      <c r="F12" s="47">
        <v>110000</v>
      </c>
      <c r="G12" s="47">
        <v>200000</v>
      </c>
    </row>
    <row r="13" spans="1:7" s="4" customFormat="1" ht="15" customHeight="1" x14ac:dyDescent="0.3">
      <c r="A13" s="21"/>
      <c r="B13" s="17"/>
      <c r="C13" t="s">
        <v>6</v>
      </c>
      <c r="D13" t="s">
        <v>8</v>
      </c>
      <c r="E13" s="47">
        <v>75000</v>
      </c>
      <c r="F13" s="47">
        <v>82000</v>
      </c>
      <c r="G13" s="47">
        <v>150000</v>
      </c>
    </row>
    <row r="14" spans="1:7" s="4" customFormat="1" ht="15" customHeight="1" x14ac:dyDescent="0.3">
      <c r="A14" s="21"/>
      <c r="B14" s="17"/>
      <c r="C14"/>
      <c r="D14"/>
      <c r="E14"/>
      <c r="F14"/>
      <c r="G14"/>
    </row>
    <row r="15" spans="1:7" s="4" customFormat="1" ht="15" customHeight="1" x14ac:dyDescent="0.3">
      <c r="A15" s="21"/>
      <c r="B15" s="17"/>
      <c r="C15"/>
      <c r="D15"/>
      <c r="E15"/>
      <c r="F15"/>
      <c r="G15"/>
    </row>
    <row r="16" spans="1:7" s="4" customFormat="1" ht="15" customHeight="1" x14ac:dyDescent="0.3">
      <c r="A16" s="21"/>
      <c r="B16" s="17"/>
      <c r="C16"/>
      <c r="D16"/>
      <c r="E16"/>
      <c r="F16"/>
      <c r="G16"/>
    </row>
    <row r="17" spans="1:7" s="4" customFormat="1" ht="15" customHeight="1" x14ac:dyDescent="0.3">
      <c r="A17" s="21"/>
      <c r="B17" s="17"/>
      <c r="C17"/>
      <c r="D17"/>
      <c r="E17"/>
      <c r="F17"/>
      <c r="G17"/>
    </row>
    <row r="18" spans="1:7" s="4" customFormat="1" ht="15" customHeight="1" x14ac:dyDescent="0.3">
      <c r="A18" s="21"/>
      <c r="B18" s="17"/>
      <c r="C18"/>
      <c r="D18"/>
      <c r="E18"/>
      <c r="F18"/>
      <c r="G18"/>
    </row>
    <row r="19" spans="1:7" s="4" customFormat="1" ht="15" customHeight="1" x14ac:dyDescent="0.3">
      <c r="A19" s="21"/>
      <c r="B19" s="17"/>
      <c r="C19"/>
      <c r="D19"/>
      <c r="E19"/>
      <c r="F19"/>
      <c r="G19"/>
    </row>
    <row r="20" spans="1:7" s="4" customFormat="1" ht="15" customHeight="1" x14ac:dyDescent="0.3">
      <c r="A20" s="21"/>
      <c r="B20" s="17"/>
      <c r="C20"/>
      <c r="D20"/>
      <c r="E20"/>
      <c r="F20"/>
      <c r="G20"/>
    </row>
    <row r="21" spans="1:7" s="4" customFormat="1" ht="15" customHeight="1" x14ac:dyDescent="0.3">
      <c r="A21" s="21"/>
      <c r="B21" s="17"/>
      <c r="C21"/>
      <c r="D21"/>
      <c r="E21"/>
      <c r="F21"/>
      <c r="G21"/>
    </row>
    <row r="22" spans="1:7" s="4" customFormat="1" ht="15" customHeight="1" x14ac:dyDescent="0.3">
      <c r="A22" s="21"/>
      <c r="B22" s="17"/>
    </row>
    <row r="23" spans="1:7" s="4" customFormat="1" ht="15" customHeight="1" x14ac:dyDescent="0.3">
      <c r="A23" s="21"/>
      <c r="B23" s="17"/>
    </row>
    <row r="24" spans="1:7" s="4" customFormat="1" ht="15" customHeight="1" x14ac:dyDescent="0.3">
      <c r="A24" s="21"/>
      <c r="B24" s="17"/>
    </row>
    <row r="27" spans="1:7" ht="15" customHeight="1" x14ac:dyDescent="0.3">
      <c r="A27" s="21" t="s">
        <v>209</v>
      </c>
      <c r="C27"/>
      <c r="D27"/>
      <c r="E27"/>
      <c r="F27"/>
      <c r="G27"/>
    </row>
    <row r="28" spans="1:7" ht="15" customHeight="1" x14ac:dyDescent="0.3">
      <c r="A28" s="21" t="s">
        <v>252</v>
      </c>
      <c r="C28"/>
      <c r="D28"/>
      <c r="E28"/>
      <c r="F28"/>
      <c r="G28"/>
    </row>
    <row r="29" spans="1:7" ht="15" customHeight="1" x14ac:dyDescent="0.3">
      <c r="A29" s="21" t="s">
        <v>323</v>
      </c>
      <c r="C29"/>
      <c r="D29"/>
      <c r="E29"/>
      <c r="F29"/>
      <c r="G29"/>
    </row>
    <row r="30" spans="1:7" ht="15" customHeight="1" x14ac:dyDescent="0.3">
      <c r="A30" s="21" t="s">
        <v>254</v>
      </c>
      <c r="C30"/>
      <c r="D30"/>
      <c r="E30"/>
      <c r="F30"/>
      <c r="G30"/>
    </row>
    <row r="31" spans="1:7" ht="15" customHeight="1" x14ac:dyDescent="0.3">
      <c r="A31" s="21" t="s">
        <v>255</v>
      </c>
    </row>
    <row r="32" spans="1:7" ht="15" customHeight="1" x14ac:dyDescent="0.3">
      <c r="A32" s="21" t="s">
        <v>256</v>
      </c>
      <c r="C32"/>
      <c r="D32"/>
      <c r="E32"/>
      <c r="F32"/>
      <c r="G32"/>
    </row>
    <row r="33" spans="1:7" ht="15" customHeight="1" x14ac:dyDescent="0.3">
      <c r="A33" s="21" t="s">
        <v>337</v>
      </c>
    </row>
    <row r="34" spans="1:7" ht="15" customHeight="1" x14ac:dyDescent="0.3">
      <c r="A34" s="21" t="s">
        <v>195</v>
      </c>
      <c r="C34" t="s">
        <v>46</v>
      </c>
      <c r="D34" t="s">
        <v>26</v>
      </c>
      <c r="E34" t="s">
        <v>47</v>
      </c>
      <c r="F34" t="s">
        <v>48</v>
      </c>
      <c r="G34" t="s">
        <v>49</v>
      </c>
    </row>
    <row r="35" spans="1:7" ht="15" customHeight="1" x14ac:dyDescent="0.3">
      <c r="C35" t="s">
        <v>45</v>
      </c>
      <c r="D35" t="s">
        <v>51</v>
      </c>
      <c r="E35" s="47">
        <v>30000</v>
      </c>
      <c r="F35" s="47">
        <v>15000</v>
      </c>
      <c r="G35" s="47">
        <v>20000</v>
      </c>
    </row>
    <row r="36" spans="1:7" ht="15" customHeight="1" x14ac:dyDescent="0.3">
      <c r="C36" t="s">
        <v>45</v>
      </c>
      <c r="D36" t="s">
        <v>52</v>
      </c>
      <c r="E36" s="47">
        <v>25000</v>
      </c>
      <c r="F36" s="47">
        <v>80000</v>
      </c>
      <c r="G36" s="47">
        <v>120000</v>
      </c>
    </row>
    <row r="37" spans="1:7" ht="15" customHeight="1" x14ac:dyDescent="0.3">
      <c r="C37" t="s">
        <v>53</v>
      </c>
      <c r="D37" t="s">
        <v>64</v>
      </c>
      <c r="E37" s="47">
        <v>80000</v>
      </c>
      <c r="F37" s="47">
        <v>40000</v>
      </c>
      <c r="G37" s="47">
        <v>20000</v>
      </c>
    </row>
    <row r="38" spans="1:7" ht="15" customHeight="1" x14ac:dyDescent="0.3">
      <c r="C38" t="s">
        <v>53</v>
      </c>
      <c r="D38" t="s">
        <v>54</v>
      </c>
      <c r="E38" s="47">
        <v>90000</v>
      </c>
      <c r="F38" s="47">
        <v>35000</v>
      </c>
      <c r="G38" s="47">
        <v>25000</v>
      </c>
    </row>
    <row r="39" spans="1:7" ht="15" customHeight="1" x14ac:dyDescent="0.3">
      <c r="C39" t="s">
        <v>6</v>
      </c>
      <c r="D39" t="s">
        <v>7</v>
      </c>
      <c r="E39" s="47">
        <v>90000</v>
      </c>
      <c r="F39" s="47">
        <v>110000</v>
      </c>
      <c r="G39" s="47">
        <v>200000</v>
      </c>
    </row>
    <row r="40" spans="1:7" ht="15" customHeight="1" x14ac:dyDescent="0.3">
      <c r="C40" t="s">
        <v>6</v>
      </c>
      <c r="D40" t="s">
        <v>8</v>
      </c>
      <c r="E40" s="47">
        <v>75000</v>
      </c>
      <c r="F40" s="47">
        <v>82000</v>
      </c>
      <c r="G40" s="47">
        <v>150000</v>
      </c>
    </row>
    <row r="41" spans="1:7" ht="15" customHeight="1" x14ac:dyDescent="0.3">
      <c r="C41" t="s">
        <v>28</v>
      </c>
      <c r="D41" t="s">
        <v>50</v>
      </c>
      <c r="E41" s="47">
        <v>30000</v>
      </c>
      <c r="F41" s="47">
        <v>80000</v>
      </c>
      <c r="G41" s="47">
        <v>30000</v>
      </c>
    </row>
    <row r="42" spans="1:7" ht="15" customHeight="1" x14ac:dyDescent="0.3">
      <c r="C42" t="s">
        <v>28</v>
      </c>
      <c r="D42" t="s">
        <v>0</v>
      </c>
      <c r="E42" s="47">
        <v>10000</v>
      </c>
      <c r="F42" s="47">
        <v>30000</v>
      </c>
      <c r="G42" s="47">
        <v>40000</v>
      </c>
    </row>
    <row r="43" spans="1:7" ht="15" customHeight="1" x14ac:dyDescent="0.3">
      <c r="C43"/>
      <c r="D43"/>
      <c r="E43"/>
      <c r="F43"/>
      <c r="G43"/>
    </row>
    <row r="44" spans="1:7" ht="15" customHeight="1" x14ac:dyDescent="0.3">
      <c r="C44"/>
      <c r="D44"/>
      <c r="E44"/>
      <c r="F44"/>
      <c r="G44"/>
    </row>
    <row r="45" spans="1:7" ht="15" customHeight="1" x14ac:dyDescent="0.3">
      <c r="C45"/>
      <c r="D45"/>
      <c r="E45"/>
      <c r="F45"/>
      <c r="G45"/>
    </row>
    <row r="46" spans="1:7" ht="15" customHeight="1" x14ac:dyDescent="0.3">
      <c r="C46"/>
      <c r="D46"/>
      <c r="E46"/>
      <c r="F46"/>
      <c r="G46"/>
    </row>
    <row r="47" spans="1:7" ht="15" customHeight="1" x14ac:dyDescent="0.3">
      <c r="A47" s="21" t="s">
        <v>210</v>
      </c>
      <c r="C47"/>
      <c r="D47"/>
      <c r="E47"/>
      <c r="F47"/>
      <c r="G47"/>
    </row>
    <row r="48" spans="1:7" ht="15" customHeight="1" x14ac:dyDescent="0.3">
      <c r="A48" s="21" t="s">
        <v>211</v>
      </c>
      <c r="C48"/>
      <c r="D48"/>
      <c r="E48"/>
      <c r="F48"/>
      <c r="G48"/>
    </row>
    <row r="49" spans="1:7" ht="15" customHeight="1" x14ac:dyDescent="0.3">
      <c r="A49" s="21" t="s">
        <v>324</v>
      </c>
      <c r="C49"/>
      <c r="D49"/>
      <c r="E49"/>
      <c r="F49"/>
      <c r="G49"/>
    </row>
    <row r="50" spans="1:7" ht="15" customHeight="1" x14ac:dyDescent="0.3">
      <c r="A50" s="21" t="s">
        <v>257</v>
      </c>
      <c r="C50"/>
      <c r="D50"/>
      <c r="E50"/>
      <c r="F50"/>
      <c r="G50"/>
    </row>
    <row r="51" spans="1:7" ht="15" customHeight="1" x14ac:dyDescent="0.3">
      <c r="A51" s="21" t="s">
        <v>258</v>
      </c>
      <c r="C51"/>
      <c r="D51"/>
      <c r="E51"/>
      <c r="F51"/>
      <c r="G51"/>
    </row>
    <row r="52" spans="1:7" ht="15" customHeight="1" x14ac:dyDescent="0.3">
      <c r="A52" s="21" t="s">
        <v>259</v>
      </c>
      <c r="C52"/>
      <c r="D52"/>
      <c r="E52"/>
      <c r="F52"/>
      <c r="G52"/>
    </row>
    <row r="53" spans="1:7" ht="15" customHeight="1" x14ac:dyDescent="0.3">
      <c r="A53" s="21" t="s">
        <v>325</v>
      </c>
      <c r="C53"/>
      <c r="D53"/>
      <c r="E53"/>
      <c r="F53"/>
      <c r="G53"/>
    </row>
    <row r="54" spans="1:7" ht="15" customHeight="1" x14ac:dyDescent="0.3">
      <c r="A54" s="21" t="s">
        <v>214</v>
      </c>
      <c r="C54" t="s">
        <v>46</v>
      </c>
      <c r="D54" t="s">
        <v>26</v>
      </c>
      <c r="E54" t="s">
        <v>47</v>
      </c>
      <c r="F54" t="s">
        <v>48</v>
      </c>
      <c r="G54" t="s">
        <v>49</v>
      </c>
    </row>
    <row r="55" spans="1:7" ht="15" customHeight="1" x14ac:dyDescent="0.3">
      <c r="C55" t="s">
        <v>45</v>
      </c>
      <c r="D55" t="s">
        <v>51</v>
      </c>
      <c r="E55" s="47">
        <v>30000</v>
      </c>
      <c r="F55" s="47">
        <v>15000</v>
      </c>
      <c r="G55" s="47">
        <v>20000</v>
      </c>
    </row>
    <row r="56" spans="1:7" ht="15" customHeight="1" x14ac:dyDescent="0.3">
      <c r="C56" t="s">
        <v>45</v>
      </c>
      <c r="D56" t="s">
        <v>52</v>
      </c>
      <c r="E56" s="47">
        <v>25000</v>
      </c>
      <c r="F56" s="47">
        <v>80000</v>
      </c>
      <c r="G56" s="47">
        <v>120000</v>
      </c>
    </row>
    <row r="57" spans="1:7" ht="15" customHeight="1" x14ac:dyDescent="0.3">
      <c r="C57" t="s">
        <v>53</v>
      </c>
      <c r="D57" t="s">
        <v>64</v>
      </c>
      <c r="E57" s="47">
        <v>80000</v>
      </c>
      <c r="F57" s="47">
        <v>40000</v>
      </c>
      <c r="G57" s="47">
        <v>20000</v>
      </c>
    </row>
    <row r="58" spans="1:7" ht="15" customHeight="1" x14ac:dyDescent="0.3">
      <c r="C58" t="s">
        <v>53</v>
      </c>
      <c r="D58" t="s">
        <v>54</v>
      </c>
      <c r="E58" s="47">
        <v>90000</v>
      </c>
      <c r="F58" s="47">
        <v>35000</v>
      </c>
      <c r="G58" s="47">
        <v>25000</v>
      </c>
    </row>
    <row r="59" spans="1:7" ht="15" customHeight="1" x14ac:dyDescent="0.3">
      <c r="C59" t="s">
        <v>6</v>
      </c>
      <c r="D59" t="s">
        <v>7</v>
      </c>
      <c r="E59" s="47">
        <v>90000</v>
      </c>
      <c r="F59" s="47">
        <v>110000</v>
      </c>
      <c r="G59" s="47">
        <v>200000</v>
      </c>
    </row>
    <row r="60" spans="1:7" ht="15" customHeight="1" x14ac:dyDescent="0.3">
      <c r="C60" t="s">
        <v>6</v>
      </c>
      <c r="D60" t="s">
        <v>8</v>
      </c>
      <c r="E60" s="47">
        <v>75000</v>
      </c>
      <c r="F60" s="47">
        <v>82000</v>
      </c>
      <c r="G60" s="47">
        <v>150000</v>
      </c>
    </row>
    <row r="61" spans="1:7" ht="15" customHeight="1" x14ac:dyDescent="0.3">
      <c r="C61" t="s">
        <v>28</v>
      </c>
      <c r="D61" t="s">
        <v>50</v>
      </c>
      <c r="E61" s="47">
        <v>30000</v>
      </c>
      <c r="F61" s="47">
        <v>80000</v>
      </c>
      <c r="G61" s="47">
        <v>30000</v>
      </c>
    </row>
    <row r="62" spans="1:7" ht="15" customHeight="1" x14ac:dyDescent="0.3">
      <c r="C62" t="s">
        <v>28</v>
      </c>
      <c r="D62" t="s">
        <v>0</v>
      </c>
      <c r="E62" s="47">
        <v>10000</v>
      </c>
      <c r="F62" s="47">
        <v>30000</v>
      </c>
      <c r="G62" s="47">
        <v>40000</v>
      </c>
    </row>
    <row r="68" spans="1:7" ht="15" customHeight="1" x14ac:dyDescent="0.3">
      <c r="A68" s="21" t="s">
        <v>113</v>
      </c>
    </row>
    <row r="69" spans="1:7" ht="15" customHeight="1" x14ac:dyDescent="0.3">
      <c r="A69" s="21" t="s">
        <v>212</v>
      </c>
      <c r="C69"/>
      <c r="D69"/>
      <c r="E69"/>
      <c r="F69"/>
      <c r="G69"/>
    </row>
    <row r="70" spans="1:7" ht="15" customHeight="1" x14ac:dyDescent="0.3">
      <c r="A70" s="21" t="s">
        <v>213</v>
      </c>
      <c r="C70"/>
      <c r="D70"/>
      <c r="E70"/>
      <c r="F70"/>
      <c r="G70"/>
    </row>
    <row r="71" spans="1:7" ht="15" customHeight="1" x14ac:dyDescent="0.3">
      <c r="A71" s="21" t="s">
        <v>112</v>
      </c>
      <c r="C71"/>
      <c r="D71"/>
      <c r="E71"/>
      <c r="F71"/>
      <c r="G71"/>
    </row>
  </sheetData>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extLst>
    <ext xmlns:x14="http://schemas.microsoft.com/office/spreadsheetml/2009/9/main" uri="{05C60535-1F16-4fd2-B633-F4F36F0B64E0}">
      <x14:sparklineGroups xmlns:xm="http://schemas.microsoft.com/office/excel/2006/main">
        <x14:sparklineGroup displayEmptyCellsAs="span" xr2:uid="{D1696D24-790D-4B8B-87A5-3A24616296B4}">
          <x14:colorSeries rgb="FF376092"/>
          <x14:colorNegative rgb="FFD00000"/>
          <x14:colorAxis rgb="FF000000"/>
          <x14:colorMarkers rgb="FFD00000"/>
          <x14:colorFirst rgb="FFD00000"/>
          <x14:colorLast rgb="FFD00000"/>
          <x14:colorHigh rgb="FFD00000"/>
          <x14:colorLow rgb="FFD00000"/>
          <x14:sparklines>
            <x14:sparkline>
              <xm:f>'8. Analyze'!E55:G55</xm:f>
              <xm:sqref>H55</xm:sqref>
            </x14:sparkline>
            <x14:sparkline>
              <xm:f>'8. Analyze'!E56:G56</xm:f>
              <xm:sqref>H56</xm:sqref>
            </x14:sparkline>
            <x14:sparkline>
              <xm:f>'8. Analyze'!E57:G57</xm:f>
              <xm:sqref>H57</xm:sqref>
            </x14:sparkline>
            <x14:sparkline>
              <xm:f>'8. Analyze'!E58:G58</xm:f>
              <xm:sqref>H58</xm:sqref>
            </x14:sparkline>
            <x14:sparkline>
              <xm:f>'8. Analyze'!E59:G59</xm:f>
              <xm:sqref>H59</xm:sqref>
            </x14:sparkline>
            <x14:sparkline>
              <xm:f>'8. Analyze'!E60:G60</xm:f>
              <xm:sqref>H60</xm:sqref>
            </x14:sparkline>
            <x14:sparkline>
              <xm:f>'8. Analyze'!E61:G61</xm:f>
              <xm:sqref>H61</xm:sqref>
            </x14:sparkline>
            <x14:sparkline>
              <xm:f>'8. Analyze'!E62:G62</xm:f>
              <xm:sqref>H62</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4"/>
  <sheetViews>
    <sheetView showGridLines="0" topLeftCell="B1" zoomScaleNormal="100" zoomScalePageLayoutView="125" workbookViewId="0">
      <selection activeCell="C44" sqref="C44"/>
    </sheetView>
  </sheetViews>
  <sheetFormatPr defaultColWidth="8.88671875" defaultRowHeight="15" customHeight="1" x14ac:dyDescent="0.3"/>
  <cols>
    <col min="1" max="1" width="12.6640625" style="21" customWidth="1"/>
    <col min="2" max="2" width="82.88671875" style="17" customWidth="1"/>
    <col min="3" max="3" width="13.88671875" style="1" customWidth="1"/>
    <col min="4" max="4" width="24.44140625" style="1" customWidth="1"/>
    <col min="5" max="5" width="23.88671875" style="1" customWidth="1"/>
    <col min="6" max="6" width="15.5546875" style="1" customWidth="1"/>
    <col min="7" max="16384" width="8.88671875" style="1"/>
  </cols>
  <sheetData>
    <row r="1" spans="1:6" ht="60" customHeight="1" x14ac:dyDescent="0.3">
      <c r="A1" s="21" t="s">
        <v>133</v>
      </c>
      <c r="C1"/>
      <c r="D1"/>
      <c r="E1"/>
      <c r="F1"/>
    </row>
    <row r="2" spans="1:6" ht="15" customHeight="1" x14ac:dyDescent="0.3">
      <c r="A2" s="21" t="s">
        <v>344</v>
      </c>
      <c r="C2"/>
      <c r="D2"/>
      <c r="E2"/>
      <c r="F2"/>
    </row>
    <row r="3" spans="1:6" ht="15" customHeight="1" x14ac:dyDescent="0.3">
      <c r="A3" s="21" t="s">
        <v>260</v>
      </c>
      <c r="C3"/>
      <c r="D3"/>
      <c r="E3"/>
      <c r="F3"/>
    </row>
    <row r="4" spans="1:6" ht="15" customHeight="1" x14ac:dyDescent="0.3">
      <c r="A4" s="21" t="s">
        <v>345</v>
      </c>
      <c r="C4"/>
      <c r="D4"/>
      <c r="E4"/>
      <c r="F4"/>
    </row>
    <row r="5" spans="1:6" s="4" customFormat="1" ht="15" customHeight="1" x14ac:dyDescent="0.3">
      <c r="A5" s="21" t="s">
        <v>326</v>
      </c>
      <c r="B5" s="17"/>
      <c r="C5" t="s">
        <v>84</v>
      </c>
      <c r="D5" t="s">
        <v>85</v>
      </c>
      <c r="E5"/>
      <c r="F5"/>
    </row>
    <row r="6" spans="1:6" s="4" customFormat="1" ht="15" customHeight="1" x14ac:dyDescent="0.3">
      <c r="A6" s="21" t="s">
        <v>359</v>
      </c>
      <c r="B6" s="17"/>
      <c r="C6">
        <f ca="1">YEAR(TODAY())-5</f>
        <v>2018</v>
      </c>
      <c r="D6">
        <v>500</v>
      </c>
      <c r="E6"/>
      <c r="F6"/>
    </row>
    <row r="7" spans="1:6" s="4" customFormat="1" ht="15" customHeight="1" x14ac:dyDescent="0.3">
      <c r="A7" s="21" t="s">
        <v>346</v>
      </c>
      <c r="B7" s="17"/>
      <c r="C7">
        <f ca="1">YEAR(TODAY())-4</f>
        <v>2019</v>
      </c>
      <c r="D7">
        <v>800</v>
      </c>
      <c r="E7"/>
      <c r="F7"/>
    </row>
    <row r="8" spans="1:6" s="4" customFormat="1" ht="15" customHeight="1" x14ac:dyDescent="0.3">
      <c r="A8" s="21" t="s">
        <v>261</v>
      </c>
      <c r="B8" s="17"/>
      <c r="C8">
        <f ca="1">YEAR(TODAY())-3</f>
        <v>2020</v>
      </c>
      <c r="D8">
        <v>1000</v>
      </c>
      <c r="E8"/>
      <c r="F8"/>
    </row>
    <row r="9" spans="1:6" s="4" customFormat="1" ht="15" customHeight="1" x14ac:dyDescent="0.3">
      <c r="A9" s="60" t="s">
        <v>338</v>
      </c>
      <c r="B9" s="17"/>
      <c r="C9">
        <f ca="1">YEAR(TODAY())-2</f>
        <v>2021</v>
      </c>
      <c r="D9">
        <v>900</v>
      </c>
      <c r="E9"/>
      <c r="F9"/>
    </row>
    <row r="10" spans="1:6" s="4" customFormat="1" ht="15" customHeight="1" x14ac:dyDescent="0.3">
      <c r="A10" s="21" t="s">
        <v>118</v>
      </c>
      <c r="B10" s="17"/>
      <c r="C10">
        <f ca="1">YEAR(TODAY())-1</f>
        <v>2022</v>
      </c>
      <c r="D10">
        <v>1000</v>
      </c>
      <c r="E10"/>
      <c r="F10"/>
    </row>
    <row r="11" spans="1:6" s="4" customFormat="1" ht="15" customHeight="1" x14ac:dyDescent="0.3">
      <c r="A11" s="21"/>
      <c r="B11" s="17"/>
      <c r="C11">
        <f ca="1">YEAR(TODAY())</f>
        <v>2023</v>
      </c>
      <c r="D11">
        <v>1200</v>
      </c>
      <c r="E11"/>
      <c r="F11"/>
    </row>
    <row r="12" spans="1:6" s="4" customFormat="1" ht="15" customHeight="1" x14ac:dyDescent="0.3">
      <c r="A12" s="21"/>
      <c r="B12" s="17"/>
      <c r="C12"/>
      <c r="D12"/>
      <c r="E12"/>
      <c r="F12"/>
    </row>
    <row r="13" spans="1:6" s="4" customFormat="1" ht="15" customHeight="1" x14ac:dyDescent="0.3">
      <c r="A13" s="21"/>
      <c r="B13" s="17"/>
      <c r="C13"/>
      <c r="D13"/>
      <c r="E13"/>
      <c r="F13"/>
    </row>
    <row r="14" spans="1:6" s="4" customFormat="1" ht="15" customHeight="1" x14ac:dyDescent="0.3">
      <c r="A14" s="21"/>
      <c r="B14" s="17"/>
      <c r="C14"/>
      <c r="D14"/>
      <c r="E14"/>
      <c r="F14"/>
    </row>
    <row r="15" spans="1:6" s="4" customFormat="1" ht="15" customHeight="1" x14ac:dyDescent="0.3">
      <c r="A15" s="21"/>
      <c r="B15" s="17"/>
      <c r="C15"/>
      <c r="D15"/>
      <c r="E15"/>
      <c r="F15"/>
    </row>
    <row r="16" spans="1:6" s="4" customFormat="1" ht="15" customHeight="1" x14ac:dyDescent="0.3">
      <c r="A16" s="21"/>
      <c r="B16" s="17"/>
      <c r="C16"/>
      <c r="D16"/>
      <c r="E16"/>
      <c r="F16"/>
    </row>
    <row r="17" spans="1:6" s="4" customFormat="1" ht="15" customHeight="1" x14ac:dyDescent="0.3">
      <c r="A17" s="21"/>
      <c r="B17" s="17"/>
      <c r="C17"/>
      <c r="D17"/>
      <c r="E17"/>
      <c r="F17"/>
    </row>
    <row r="18" spans="1:6" s="4" customFormat="1" ht="15" customHeight="1" x14ac:dyDescent="0.3">
      <c r="A18" s="21"/>
      <c r="B18" s="17"/>
      <c r="C18"/>
      <c r="D18"/>
      <c r="E18"/>
      <c r="F18"/>
    </row>
    <row r="19" spans="1:6" s="4" customFormat="1" ht="15" customHeight="1" x14ac:dyDescent="0.3">
      <c r="A19" s="21"/>
      <c r="B19" s="17"/>
      <c r="C19"/>
      <c r="D19"/>
      <c r="E19"/>
      <c r="F19"/>
    </row>
    <row r="20" spans="1:6" s="4" customFormat="1" ht="15" customHeight="1" x14ac:dyDescent="0.3">
      <c r="A20" s="21"/>
      <c r="B20" s="17"/>
      <c r="C20"/>
      <c r="D20"/>
      <c r="E20"/>
      <c r="F20"/>
    </row>
    <row r="21" spans="1:6" s="4" customFormat="1" ht="15" customHeight="1" x14ac:dyDescent="0.3">
      <c r="A21" s="21"/>
      <c r="B21" s="17"/>
      <c r="C21"/>
      <c r="D21"/>
      <c r="E21"/>
      <c r="F21"/>
    </row>
    <row r="22" spans="1:6" s="4" customFormat="1" ht="15" customHeight="1" x14ac:dyDescent="0.3">
      <c r="A22" s="21"/>
      <c r="B22" s="17"/>
    </row>
    <row r="23" spans="1:6" s="4" customFormat="1" ht="15" customHeight="1" x14ac:dyDescent="0.3">
      <c r="A23" s="21"/>
      <c r="B23" s="17"/>
    </row>
    <row r="24" spans="1:6" s="4" customFormat="1" ht="15" customHeight="1" x14ac:dyDescent="0.3">
      <c r="A24" s="21"/>
      <c r="B24" s="17"/>
    </row>
    <row r="27" spans="1:6" ht="15" customHeight="1" x14ac:dyDescent="0.3">
      <c r="A27" s="21" t="s">
        <v>215</v>
      </c>
      <c r="C27"/>
      <c r="D27"/>
      <c r="E27"/>
      <c r="F27"/>
    </row>
    <row r="28" spans="1:6" ht="15" customHeight="1" x14ac:dyDescent="0.3">
      <c r="A28" s="21" t="s">
        <v>216</v>
      </c>
      <c r="C28"/>
      <c r="D28"/>
      <c r="E28"/>
      <c r="F28"/>
    </row>
    <row r="29" spans="1:6" ht="15" customHeight="1" x14ac:dyDescent="0.3">
      <c r="A29" s="21" t="s">
        <v>217</v>
      </c>
      <c r="C29"/>
      <c r="D29"/>
      <c r="E29"/>
      <c r="F29"/>
    </row>
    <row r="30" spans="1:6" ht="15" customHeight="1" x14ac:dyDescent="0.3">
      <c r="A30" s="21" t="s">
        <v>225</v>
      </c>
      <c r="C30"/>
      <c r="D30"/>
      <c r="E30"/>
      <c r="F30"/>
    </row>
    <row r="31" spans="1:6" ht="15" customHeight="1" x14ac:dyDescent="0.3">
      <c r="A31" s="21" t="s">
        <v>226</v>
      </c>
      <c r="C31"/>
      <c r="D31"/>
      <c r="E31"/>
      <c r="F31"/>
    </row>
    <row r="32" spans="1:6" ht="15" customHeight="1" x14ac:dyDescent="0.3">
      <c r="A32" s="21" t="s">
        <v>218</v>
      </c>
      <c r="C32"/>
      <c r="D32"/>
      <c r="E32"/>
      <c r="F32"/>
    </row>
    <row r="33" spans="1:6" ht="15" customHeight="1" x14ac:dyDescent="0.3">
      <c r="A33" s="21" t="s">
        <v>348</v>
      </c>
      <c r="C33"/>
      <c r="D33"/>
      <c r="E33"/>
      <c r="F33"/>
    </row>
    <row r="34" spans="1:6" ht="15" customHeight="1" x14ac:dyDescent="0.3">
      <c r="A34" s="21" t="s">
        <v>360</v>
      </c>
      <c r="C34"/>
      <c r="D34"/>
      <c r="E34"/>
      <c r="F34"/>
    </row>
    <row r="35" spans="1:6" ht="15" customHeight="1" x14ac:dyDescent="0.3">
      <c r="A35" s="21" t="s">
        <v>219</v>
      </c>
      <c r="C35"/>
      <c r="D35"/>
      <c r="E35"/>
      <c r="F35"/>
    </row>
    <row r="36" spans="1:6" ht="15" customHeight="1" x14ac:dyDescent="0.3">
      <c r="C36"/>
      <c r="D36"/>
      <c r="E36"/>
      <c r="F36"/>
    </row>
    <row r="37" spans="1:6" ht="15" customHeight="1" x14ac:dyDescent="0.3">
      <c r="C37"/>
      <c r="D37"/>
      <c r="E37"/>
      <c r="F37"/>
    </row>
    <row r="38" spans="1:6" ht="15" customHeight="1" x14ac:dyDescent="0.3">
      <c r="C38"/>
      <c r="D38"/>
      <c r="E38"/>
      <c r="F38"/>
    </row>
    <row r="39" spans="1:6" ht="15" customHeight="1" x14ac:dyDescent="0.3">
      <c r="C39"/>
      <c r="D39"/>
      <c r="E39"/>
      <c r="F39"/>
    </row>
    <row r="40" spans="1:6" ht="15" customHeight="1" x14ac:dyDescent="0.3">
      <c r="C40"/>
      <c r="D40"/>
      <c r="E40"/>
      <c r="F40"/>
    </row>
    <row r="41" spans="1:6" ht="15" customHeight="1" x14ac:dyDescent="0.3">
      <c r="C41"/>
      <c r="D41"/>
      <c r="E41"/>
      <c r="F41"/>
    </row>
    <row r="42" spans="1:6" ht="15" customHeight="1" x14ac:dyDescent="0.3">
      <c r="C42"/>
      <c r="D42"/>
      <c r="E42"/>
      <c r="F42"/>
    </row>
    <row r="43" spans="1:6" ht="15" customHeight="1" x14ac:dyDescent="0.3">
      <c r="C43"/>
      <c r="D43"/>
      <c r="E43"/>
      <c r="F43"/>
    </row>
    <row r="44" spans="1:6" ht="15" customHeight="1" x14ac:dyDescent="0.3">
      <c r="C44"/>
      <c r="D44"/>
      <c r="E44"/>
      <c r="F44"/>
    </row>
    <row r="45" spans="1:6" ht="15" customHeight="1" x14ac:dyDescent="0.3">
      <c r="C45"/>
      <c r="D45"/>
      <c r="E45"/>
      <c r="F45"/>
    </row>
    <row r="46" spans="1:6" ht="15" customHeight="1" x14ac:dyDescent="0.3">
      <c r="C46"/>
      <c r="D46"/>
      <c r="E46"/>
      <c r="F46"/>
    </row>
    <row r="47" spans="1:6" ht="15" customHeight="1" x14ac:dyDescent="0.3">
      <c r="C47"/>
      <c r="D47"/>
      <c r="E47"/>
      <c r="F47"/>
    </row>
    <row r="48" spans="1:6" ht="15" customHeight="1" x14ac:dyDescent="0.3">
      <c r="C48"/>
      <c r="D48"/>
      <c r="E48"/>
      <c r="F48"/>
    </row>
    <row r="49" spans="1:6" ht="15" customHeight="1" x14ac:dyDescent="0.3">
      <c r="C49"/>
      <c r="D49"/>
      <c r="E49"/>
      <c r="F49"/>
    </row>
    <row r="50" spans="1:6" ht="15" customHeight="1" x14ac:dyDescent="0.3">
      <c r="C50"/>
      <c r="D50"/>
      <c r="E50"/>
      <c r="F50"/>
    </row>
    <row r="51" spans="1:6" ht="15" customHeight="1" x14ac:dyDescent="0.3">
      <c r="C51"/>
      <c r="D51"/>
      <c r="E51"/>
      <c r="F51"/>
    </row>
    <row r="52" spans="1:6" ht="15" customHeight="1" x14ac:dyDescent="0.3">
      <c r="A52" s="21" t="s">
        <v>220</v>
      </c>
      <c r="C52"/>
      <c r="D52"/>
      <c r="E52"/>
      <c r="F52"/>
    </row>
    <row r="53" spans="1:6" ht="15" customHeight="1" x14ac:dyDescent="0.3">
      <c r="A53" s="21" t="s">
        <v>224</v>
      </c>
      <c r="C53"/>
      <c r="D53"/>
      <c r="E53"/>
      <c r="F53"/>
    </row>
    <row r="54" spans="1:6" ht="15" customHeight="1" x14ac:dyDescent="0.3">
      <c r="A54" s="21" t="s">
        <v>262</v>
      </c>
      <c r="C54"/>
      <c r="D54"/>
      <c r="E54"/>
      <c r="F54"/>
    </row>
    <row r="55" spans="1:6" ht="15" customHeight="1" x14ac:dyDescent="0.3">
      <c r="A55" s="21" t="s">
        <v>327</v>
      </c>
    </row>
    <row r="56" spans="1:6" ht="15" customHeight="1" x14ac:dyDescent="0.3">
      <c r="A56" s="60" t="s">
        <v>353</v>
      </c>
    </row>
    <row r="57" spans="1:6" ht="15" customHeight="1" x14ac:dyDescent="0.3">
      <c r="A57" s="21" t="s">
        <v>214</v>
      </c>
    </row>
    <row r="62" spans="1:6" ht="15" customHeight="1" x14ac:dyDescent="0.3">
      <c r="F62"/>
    </row>
    <row r="63" spans="1:6" ht="15" customHeight="1" x14ac:dyDescent="0.3">
      <c r="C63"/>
      <c r="D63"/>
      <c r="E63"/>
      <c r="F63"/>
    </row>
    <row r="64" spans="1:6" ht="15" customHeight="1" x14ac:dyDescent="0.3">
      <c r="C64"/>
      <c r="D64"/>
      <c r="E64"/>
      <c r="F64"/>
    </row>
    <row r="67" spans="1:6" ht="15" customHeight="1" x14ac:dyDescent="0.3">
      <c r="D67" s="10" t="s">
        <v>78</v>
      </c>
      <c r="E67" s="10" t="s">
        <v>85</v>
      </c>
      <c r="F67" s="19" t="s">
        <v>86</v>
      </c>
    </row>
    <row r="68" spans="1:6" ht="15" customHeight="1" x14ac:dyDescent="0.3">
      <c r="A68" s="21" t="s">
        <v>113</v>
      </c>
      <c r="D68" s="17">
        <f ca="1">YEAR(TODAY())-5</f>
        <v>2018</v>
      </c>
      <c r="E68" s="6">
        <v>500</v>
      </c>
      <c r="F68" s="49">
        <v>5000</v>
      </c>
    </row>
    <row r="69" spans="1:6" ht="15" customHeight="1" x14ac:dyDescent="0.3">
      <c r="A69" s="21" t="s">
        <v>221</v>
      </c>
      <c r="C69"/>
      <c r="D69" s="17">
        <f ca="1">YEAR(TODAY())-4</f>
        <v>2019</v>
      </c>
      <c r="E69">
        <v>800</v>
      </c>
      <c r="F69" s="48">
        <v>11200</v>
      </c>
    </row>
    <row r="70" spans="1:6" ht="15" customHeight="1" x14ac:dyDescent="0.3">
      <c r="A70" s="21" t="s">
        <v>222</v>
      </c>
      <c r="C70"/>
      <c r="D70" s="17">
        <f ca="1">YEAR(TODAY())-3</f>
        <v>2020</v>
      </c>
      <c r="E70" s="6">
        <v>1000</v>
      </c>
      <c r="F70" s="49">
        <v>30000</v>
      </c>
    </row>
    <row r="71" spans="1:6" ht="15" customHeight="1" x14ac:dyDescent="0.3">
      <c r="A71" s="21" t="s">
        <v>223</v>
      </c>
      <c r="C71"/>
      <c r="D71" s="17">
        <f ca="1">YEAR(TODAY())-2</f>
        <v>2021</v>
      </c>
      <c r="E71">
        <v>900</v>
      </c>
      <c r="F71" s="48">
        <v>25000</v>
      </c>
    </row>
    <row r="72" spans="1:6" ht="15" customHeight="1" x14ac:dyDescent="0.3">
      <c r="A72" s="21" t="s">
        <v>112</v>
      </c>
      <c r="C72"/>
      <c r="D72" s="17">
        <f ca="1">YEAR(TODAY())-1</f>
        <v>2022</v>
      </c>
      <c r="E72" s="6">
        <v>1000</v>
      </c>
      <c r="F72" s="49">
        <v>5000</v>
      </c>
    </row>
    <row r="73" spans="1:6" ht="15" customHeight="1" x14ac:dyDescent="0.3">
      <c r="C73"/>
      <c r="D73" s="17">
        <f ca="1">YEAR(TODAY())</f>
        <v>2023</v>
      </c>
      <c r="E73">
        <v>1200</v>
      </c>
      <c r="F73" s="48">
        <v>8000</v>
      </c>
    </row>
    <row r="74" spans="1:6" ht="15" customHeight="1" x14ac:dyDescent="0.3">
      <c r="C74"/>
      <c r="D74"/>
      <c r="E74"/>
      <c r="F74"/>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zoomScaleNormal="100" zoomScalePageLayoutView="125" workbookViewId="0">
      <selection activeCell="I5" sqref="I5"/>
    </sheetView>
  </sheetViews>
  <sheetFormatPr defaultColWidth="8.88671875" defaultRowHeight="15" customHeight="1" x14ac:dyDescent="0.3"/>
  <cols>
    <col min="1" max="1" width="12.6640625" style="21" customWidth="1"/>
    <col min="2" max="2" width="82.88671875" style="17" customWidth="1"/>
    <col min="3" max="3" width="12.44140625" style="1" customWidth="1"/>
    <col min="4" max="4" width="14" style="1" customWidth="1"/>
    <col min="5" max="5" width="13.109375" style="1" bestFit="1" customWidth="1"/>
    <col min="6" max="6" width="14.88671875" style="1" bestFit="1" customWidth="1"/>
    <col min="7" max="16384" width="8.88671875" style="1"/>
  </cols>
  <sheetData>
    <row r="1" spans="1:6" ht="60" customHeight="1" x14ac:dyDescent="0.3">
      <c r="A1" s="21" t="s">
        <v>134</v>
      </c>
      <c r="C1"/>
      <c r="D1"/>
      <c r="E1"/>
      <c r="F1"/>
    </row>
    <row r="2" spans="1:6" ht="15" customHeight="1" x14ac:dyDescent="0.3">
      <c r="A2" s="21" t="s">
        <v>328</v>
      </c>
      <c r="C2"/>
      <c r="D2"/>
      <c r="E2"/>
      <c r="F2"/>
    </row>
    <row r="3" spans="1:6" ht="15" customHeight="1" x14ac:dyDescent="0.3">
      <c r="A3" s="21" t="s">
        <v>263</v>
      </c>
      <c r="C3" t="s">
        <v>78</v>
      </c>
      <c r="D3" t="s">
        <v>79</v>
      </c>
      <c r="E3" t="s">
        <v>27</v>
      </c>
      <c r="F3" t="s">
        <v>1</v>
      </c>
    </row>
    <row r="4" spans="1:6" ht="15" customHeight="1" x14ac:dyDescent="0.3">
      <c r="A4" s="21" t="s">
        <v>227</v>
      </c>
      <c r="C4" s="52">
        <f ca="1">TODAY()-57</f>
        <v>45088</v>
      </c>
      <c r="D4" t="s">
        <v>80</v>
      </c>
      <c r="E4" t="s">
        <v>81</v>
      </c>
      <c r="F4" s="50">
        <v>1400</v>
      </c>
    </row>
    <row r="5" spans="1:6" s="4" customFormat="1" ht="15" customHeight="1" x14ac:dyDescent="0.3">
      <c r="A5" s="21" t="s">
        <v>369</v>
      </c>
      <c r="B5" s="17"/>
      <c r="C5" s="52">
        <f ca="1">TODAY()-52</f>
        <v>45093</v>
      </c>
      <c r="D5" t="s">
        <v>71</v>
      </c>
      <c r="E5" t="s">
        <v>82</v>
      </c>
      <c r="F5" s="50">
        <v>1010</v>
      </c>
    </row>
    <row r="6" spans="1:6" s="4" customFormat="1" ht="15" customHeight="1" x14ac:dyDescent="0.3">
      <c r="A6" s="21" t="s">
        <v>370</v>
      </c>
      <c r="B6" s="17"/>
      <c r="C6" s="52">
        <f ca="1">TODAY()-35</f>
        <v>45110</v>
      </c>
      <c r="D6" t="s">
        <v>80</v>
      </c>
      <c r="E6" t="s">
        <v>81</v>
      </c>
      <c r="F6" s="50">
        <v>750</v>
      </c>
    </row>
    <row r="7" spans="1:6" s="4" customFormat="1" ht="15" customHeight="1" x14ac:dyDescent="0.3">
      <c r="A7" s="21" t="s">
        <v>371</v>
      </c>
      <c r="B7" s="17"/>
      <c r="C7" s="52">
        <f ca="1">TODAY()-31</f>
        <v>45114</v>
      </c>
      <c r="D7" t="s">
        <v>71</v>
      </c>
      <c r="E7" t="s">
        <v>83</v>
      </c>
      <c r="F7" s="50">
        <v>510</v>
      </c>
    </row>
    <row r="8" spans="1:6" s="4" customFormat="1" ht="15" customHeight="1" x14ac:dyDescent="0.3">
      <c r="A8" s="21" t="s">
        <v>118</v>
      </c>
      <c r="B8" s="17"/>
      <c r="C8" s="52">
        <f ca="1">TODAY()-11</f>
        <v>45134</v>
      </c>
      <c r="D8" t="s">
        <v>66</v>
      </c>
      <c r="E8" t="s">
        <v>83</v>
      </c>
      <c r="F8" s="50">
        <v>1600</v>
      </c>
    </row>
    <row r="9" spans="1:6" s="4" customFormat="1" ht="15" customHeight="1" x14ac:dyDescent="0.3">
      <c r="A9" s="21"/>
      <c r="B9" s="17"/>
      <c r="C9" s="52">
        <f ca="1">TODAY()</f>
        <v>45145</v>
      </c>
      <c r="D9" t="s">
        <v>74</v>
      </c>
      <c r="E9" t="s">
        <v>82</v>
      </c>
      <c r="F9" s="50">
        <v>680</v>
      </c>
    </row>
    <row r="10" spans="1:6" s="4" customFormat="1" ht="15" customHeight="1" x14ac:dyDescent="0.3">
      <c r="A10" s="21"/>
      <c r="B10" s="17"/>
      <c r="C10"/>
      <c r="D10"/>
      <c r="E10"/>
      <c r="F10"/>
    </row>
    <row r="11" spans="1:6" s="4" customFormat="1" ht="15" customHeight="1" x14ac:dyDescent="0.3">
      <c r="A11" s="21"/>
      <c r="B11" s="17"/>
      <c r="E11" s="20" t="s">
        <v>76</v>
      </c>
      <c r="F11" t="s">
        <v>87</v>
      </c>
    </row>
    <row r="12" spans="1:6" s="4" customFormat="1" ht="15" customHeight="1" x14ac:dyDescent="0.3">
      <c r="A12" s="21"/>
      <c r="B12" s="17"/>
      <c r="E12" s="4" t="s">
        <v>81</v>
      </c>
      <c r="F12" s="51">
        <v>2150</v>
      </c>
    </row>
    <row r="13" spans="1:6" s="4" customFormat="1" ht="15" customHeight="1" x14ac:dyDescent="0.3">
      <c r="A13" s="21"/>
      <c r="B13" s="17"/>
      <c r="E13" s="4" t="s">
        <v>83</v>
      </c>
      <c r="F13" s="51">
        <v>2110</v>
      </c>
    </row>
    <row r="14" spans="1:6" s="4" customFormat="1" ht="15" customHeight="1" x14ac:dyDescent="0.3">
      <c r="A14" s="21"/>
      <c r="B14" s="17"/>
      <c r="E14" s="4" t="s">
        <v>82</v>
      </c>
      <c r="F14" s="51">
        <v>1690</v>
      </c>
    </row>
    <row r="15" spans="1:6" s="4" customFormat="1" ht="15" customHeight="1" x14ac:dyDescent="0.3">
      <c r="A15" s="21"/>
      <c r="B15" s="17"/>
      <c r="E15" s="4" t="s">
        <v>77</v>
      </c>
      <c r="F15" s="51">
        <v>5950</v>
      </c>
    </row>
    <row r="16" spans="1:6" s="4" customFormat="1" ht="15" customHeight="1" x14ac:dyDescent="0.3">
      <c r="A16" s="21"/>
      <c r="B16" s="17"/>
      <c r="C16"/>
      <c r="D16"/>
      <c r="E16"/>
      <c r="F16"/>
    </row>
    <row r="17" spans="1:6" s="4" customFormat="1" ht="15" customHeight="1" x14ac:dyDescent="0.3">
      <c r="A17" s="21"/>
      <c r="B17" s="17"/>
      <c r="C17"/>
      <c r="D17"/>
      <c r="E17"/>
      <c r="F17"/>
    </row>
    <row r="18" spans="1:6" s="4" customFormat="1" ht="15" customHeight="1" x14ac:dyDescent="0.3">
      <c r="A18" s="21"/>
      <c r="B18" s="17"/>
      <c r="C18"/>
      <c r="D18"/>
      <c r="E18"/>
      <c r="F18"/>
    </row>
    <row r="19" spans="1:6" s="4" customFormat="1" ht="15" customHeight="1" x14ac:dyDescent="0.3">
      <c r="A19" s="21"/>
      <c r="B19" s="17"/>
      <c r="C19"/>
      <c r="D19"/>
      <c r="E19"/>
      <c r="F19"/>
    </row>
    <row r="20" spans="1:6" s="4" customFormat="1" ht="15" customHeight="1" x14ac:dyDescent="0.3">
      <c r="A20" s="21"/>
      <c r="B20" s="17"/>
      <c r="C20"/>
      <c r="D20"/>
      <c r="E20"/>
      <c r="F20"/>
    </row>
    <row r="21" spans="1:6" s="4" customFormat="1" ht="15" customHeight="1" x14ac:dyDescent="0.3">
      <c r="A21" s="21"/>
      <c r="B21" s="17"/>
      <c r="C21"/>
      <c r="D21"/>
      <c r="E21"/>
      <c r="F21"/>
    </row>
    <row r="22" spans="1:6" s="4" customFormat="1" ht="15" customHeight="1" x14ac:dyDescent="0.3">
      <c r="A22" s="21"/>
      <c r="B22" s="17"/>
      <c r="C22"/>
      <c r="D22"/>
      <c r="E22"/>
    </row>
    <row r="23" spans="1:6" s="4" customFormat="1" ht="15" customHeight="1" x14ac:dyDescent="0.3">
      <c r="A23" s="21"/>
      <c r="B23" s="17"/>
      <c r="C23"/>
      <c r="D23"/>
      <c r="E23"/>
    </row>
    <row r="24" spans="1:6" s="4" customFormat="1" ht="15" customHeight="1" x14ac:dyDescent="0.3">
      <c r="A24" s="21"/>
      <c r="B24" s="17"/>
      <c r="C24"/>
      <c r="D24"/>
      <c r="E24"/>
    </row>
    <row r="25" spans="1:6" ht="15" customHeight="1" x14ac:dyDescent="0.3">
      <c r="C25"/>
      <c r="D25"/>
      <c r="E25"/>
    </row>
    <row r="26" spans="1:6" ht="15" customHeight="1" x14ac:dyDescent="0.3">
      <c r="C26"/>
      <c r="D26"/>
      <c r="E26"/>
    </row>
    <row r="27" spans="1:6" ht="15" customHeight="1" x14ac:dyDescent="0.3">
      <c r="A27" s="21" t="s">
        <v>228</v>
      </c>
      <c r="C27"/>
      <c r="D27"/>
      <c r="E27"/>
      <c r="F27"/>
    </row>
    <row r="28" spans="1:6" ht="15" customHeight="1" x14ac:dyDescent="0.3">
      <c r="A28" s="21" t="s">
        <v>229</v>
      </c>
      <c r="C28"/>
      <c r="D28"/>
      <c r="E28"/>
      <c r="F28"/>
    </row>
    <row r="29" spans="1:6" ht="15" customHeight="1" x14ac:dyDescent="0.3">
      <c r="A29" s="21" t="s">
        <v>329</v>
      </c>
      <c r="C29"/>
      <c r="D29"/>
      <c r="E29"/>
      <c r="F29"/>
    </row>
    <row r="30" spans="1:6" ht="15" customHeight="1" x14ac:dyDescent="0.3">
      <c r="A30" s="21" t="s">
        <v>352</v>
      </c>
      <c r="C30"/>
      <c r="D30"/>
      <c r="E30"/>
      <c r="F30"/>
    </row>
    <row r="31" spans="1:6" ht="15" customHeight="1" x14ac:dyDescent="0.3">
      <c r="A31" s="21" t="s">
        <v>339</v>
      </c>
      <c r="C31"/>
      <c r="D31"/>
      <c r="E31"/>
      <c r="F31"/>
    </row>
    <row r="32" spans="1:6" ht="15" customHeight="1" x14ac:dyDescent="0.3">
      <c r="A32" s="21" t="s">
        <v>354</v>
      </c>
      <c r="C32"/>
      <c r="D32"/>
      <c r="E32"/>
      <c r="F32"/>
    </row>
    <row r="33" spans="1:6" ht="15" customHeight="1" x14ac:dyDescent="0.3">
      <c r="A33" s="60" t="s">
        <v>355</v>
      </c>
      <c r="C33"/>
      <c r="D33"/>
      <c r="E33"/>
      <c r="F33"/>
    </row>
    <row r="34" spans="1:6" ht="15" customHeight="1" x14ac:dyDescent="0.3">
      <c r="A34" s="60" t="s">
        <v>356</v>
      </c>
      <c r="C34" t="s">
        <v>78</v>
      </c>
      <c r="D34" t="s">
        <v>79</v>
      </c>
      <c r="E34" t="s">
        <v>27</v>
      </c>
      <c r="F34" t="s">
        <v>1</v>
      </c>
    </row>
    <row r="35" spans="1:6" ht="15" customHeight="1" x14ac:dyDescent="0.3">
      <c r="A35" s="21" t="s">
        <v>357</v>
      </c>
      <c r="C35" s="52">
        <f ca="1">TODAY()-57</f>
        <v>45088</v>
      </c>
      <c r="D35" t="s">
        <v>80</v>
      </c>
      <c r="E35" t="s">
        <v>81</v>
      </c>
      <c r="F35" s="50">
        <v>1400</v>
      </c>
    </row>
    <row r="36" spans="1:6" ht="15" customHeight="1" x14ac:dyDescent="0.3">
      <c r="A36" s="21" t="s">
        <v>230</v>
      </c>
      <c r="C36" s="52">
        <f ca="1">TODAY()-52</f>
        <v>45093</v>
      </c>
      <c r="D36" t="s">
        <v>71</v>
      </c>
      <c r="E36" t="s">
        <v>82</v>
      </c>
      <c r="F36" s="50">
        <v>1010</v>
      </c>
    </row>
    <row r="37" spans="1:6" ht="15" customHeight="1" x14ac:dyDescent="0.3">
      <c r="C37" s="52">
        <f ca="1">TODAY()-35</f>
        <v>45110</v>
      </c>
      <c r="D37" t="s">
        <v>80</v>
      </c>
      <c r="E37" t="s">
        <v>81</v>
      </c>
      <c r="F37" s="50">
        <v>750</v>
      </c>
    </row>
    <row r="38" spans="1:6" ht="15" customHeight="1" x14ac:dyDescent="0.3">
      <c r="C38" s="52">
        <f ca="1">TODAY()-31</f>
        <v>45114</v>
      </c>
      <c r="D38" t="s">
        <v>71</v>
      </c>
      <c r="E38" t="s">
        <v>83</v>
      </c>
      <c r="F38" s="50">
        <v>510</v>
      </c>
    </row>
    <row r="39" spans="1:6" ht="15" customHeight="1" x14ac:dyDescent="0.3">
      <c r="C39" s="52">
        <f ca="1">TODAY()-11</f>
        <v>45134</v>
      </c>
      <c r="D39" t="s">
        <v>66</v>
      </c>
      <c r="E39" t="s">
        <v>83</v>
      </c>
      <c r="F39" s="50">
        <v>1600</v>
      </c>
    </row>
    <row r="40" spans="1:6" ht="15" customHeight="1" x14ac:dyDescent="0.3">
      <c r="C40" s="52">
        <f ca="1">TODAY()</f>
        <v>45145</v>
      </c>
      <c r="D40" t="s">
        <v>74</v>
      </c>
      <c r="E40" t="s">
        <v>82</v>
      </c>
      <c r="F40" s="50">
        <v>680</v>
      </c>
    </row>
    <row r="41" spans="1:6" ht="15" customHeight="1" x14ac:dyDescent="0.3">
      <c r="C41"/>
      <c r="D41"/>
      <c r="E41"/>
      <c r="F41"/>
    </row>
    <row r="42" spans="1:6" ht="15" customHeight="1" x14ac:dyDescent="0.3">
      <c r="C42"/>
      <c r="D42"/>
      <c r="E42"/>
      <c r="F42"/>
    </row>
    <row r="43" spans="1:6" ht="15" customHeight="1" x14ac:dyDescent="0.3">
      <c r="C43"/>
      <c r="D43"/>
      <c r="E43"/>
      <c r="F43"/>
    </row>
    <row r="44" spans="1:6" ht="15" customHeight="1" x14ac:dyDescent="0.3">
      <c r="C44"/>
      <c r="D44"/>
      <c r="E44"/>
      <c r="F44"/>
    </row>
    <row r="45" spans="1:6" ht="15" customHeight="1" x14ac:dyDescent="0.3">
      <c r="C45"/>
      <c r="D45"/>
      <c r="E45"/>
      <c r="F45"/>
    </row>
    <row r="46" spans="1:6" ht="15" customHeight="1" x14ac:dyDescent="0.3">
      <c r="C46"/>
      <c r="D46"/>
      <c r="E46"/>
      <c r="F46"/>
    </row>
    <row r="47" spans="1:6" ht="15" customHeight="1" x14ac:dyDescent="0.3">
      <c r="C47"/>
      <c r="D47"/>
      <c r="E47"/>
      <c r="F47"/>
    </row>
    <row r="48" spans="1:6" ht="15" customHeight="1" x14ac:dyDescent="0.3">
      <c r="C48"/>
      <c r="D48"/>
      <c r="E48"/>
      <c r="F48"/>
    </row>
    <row r="49" spans="1:6" ht="15" customHeight="1" x14ac:dyDescent="0.3">
      <c r="C49"/>
      <c r="D49"/>
      <c r="E49"/>
      <c r="F49"/>
    </row>
    <row r="50" spans="1:6" ht="15" customHeight="1" x14ac:dyDescent="0.3">
      <c r="C50"/>
      <c r="D50"/>
      <c r="E50"/>
      <c r="F50"/>
    </row>
    <row r="51" spans="1:6" ht="15" customHeight="1" x14ac:dyDescent="0.3">
      <c r="C51"/>
      <c r="D51"/>
      <c r="E51"/>
      <c r="F51"/>
    </row>
    <row r="52" spans="1:6" ht="15" customHeight="1" x14ac:dyDescent="0.3">
      <c r="C52"/>
      <c r="D52"/>
      <c r="E52"/>
      <c r="F52"/>
    </row>
    <row r="53" spans="1:6" ht="15" customHeight="1" x14ac:dyDescent="0.3">
      <c r="C53"/>
      <c r="D53"/>
      <c r="E53"/>
      <c r="F53"/>
    </row>
    <row r="54" spans="1:6" ht="15" customHeight="1" x14ac:dyDescent="0.3">
      <c r="C54"/>
      <c r="D54"/>
      <c r="E54"/>
      <c r="F54"/>
    </row>
    <row r="55" spans="1:6" ht="15" customHeight="1" x14ac:dyDescent="0.3">
      <c r="C55"/>
      <c r="D55"/>
      <c r="E55"/>
      <c r="F55"/>
    </row>
    <row r="56" spans="1:6" ht="15" customHeight="1" x14ac:dyDescent="0.3">
      <c r="C56"/>
      <c r="D56"/>
      <c r="E56"/>
      <c r="F56"/>
    </row>
    <row r="57" spans="1:6" ht="15" customHeight="1" x14ac:dyDescent="0.3">
      <c r="C57"/>
      <c r="D57"/>
      <c r="E57"/>
      <c r="F57"/>
    </row>
    <row r="58" spans="1:6" ht="15" customHeight="1" x14ac:dyDescent="0.3">
      <c r="A58" s="21" t="s">
        <v>113</v>
      </c>
      <c r="C58"/>
      <c r="D58"/>
      <c r="E58"/>
      <c r="F58"/>
    </row>
    <row r="59" spans="1:6" ht="15" customHeight="1" x14ac:dyDescent="0.3">
      <c r="A59" s="21" t="s">
        <v>231</v>
      </c>
      <c r="C59"/>
      <c r="D59"/>
      <c r="E59"/>
      <c r="F59"/>
    </row>
    <row r="60" spans="1:6" ht="15" customHeight="1" x14ac:dyDescent="0.3">
      <c r="A60" s="21" t="s">
        <v>232</v>
      </c>
      <c r="C60"/>
      <c r="D60"/>
      <c r="E60"/>
      <c r="F60"/>
    </row>
    <row r="61" spans="1:6" ht="15" customHeight="1" x14ac:dyDescent="0.3">
      <c r="A61" s="21" t="s">
        <v>112</v>
      </c>
      <c r="C61"/>
      <c r="D61"/>
      <c r="E61"/>
      <c r="F61"/>
    </row>
  </sheetData>
  <hyperlinks>
    <hyperlink ref="A60" r:id="rId2" tooltip="Select to learn about using the Field List to arrange fields in a PivotTable from the web" xr:uid="{00000000-0004-0000-0A00-000000000000}"/>
    <hyperlink ref="A59" r:id="rId3" tooltip="Select to learn creating a PivotTable to analyze worksheet data from the web" xr:uid="{00000000-0004-0000-0A00-000001000000}"/>
  </hyperlinks>
  <pageMargins left="0.7" right="0.7" top="0.75" bottom="0.75" header="0.3" footer="0.3"/>
  <pageSetup orientation="portrait" r:id="rId4"/>
  <drawing r:id="rId5"/>
  <tableParts count="2">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2019-12-05T19:12:26Z</dcterms:created>
  <dcterms:modified xsi:type="dcterms:W3CDTF">2023-08-07T15:41:06Z</dcterms:modified>
  <cp:version/>
</cp:coreProperties>
</file>