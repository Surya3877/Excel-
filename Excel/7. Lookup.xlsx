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1. Excel\Excel PGA\1. Data Analytics with Excel\Data Analysis with Excel\Excel From Scartch\"/>
    </mc:Choice>
  </mc:AlternateContent>
  <xr:revisionPtr revIDLastSave="0" documentId="13_ncr:1_{32A7EA74-4A76-4B9C-8D5F-BBFA3379140B}" xr6:coauthVersionLast="47" xr6:coauthVersionMax="47" xr10:uidLastSave="{00000000-0000-0000-0000-000000000000}"/>
  <bookViews>
    <workbookView xWindow="-108" yWindow="-108" windowWidth="23256" windowHeight="12456" activeTab="2" xr2:uid="{2FD22CA8-F430-4439-BB5D-53AC02E54AF0}"/>
  </bookViews>
  <sheets>
    <sheet name="Sheet1" sheetId="1" r:id="rId1"/>
    <sheet name="Sheet2" sheetId="4" r:id="rId2"/>
    <sheet name="Sheet3" sheetId="2" r:id="rId3"/>
    <sheet name="Sheet4" sheetId="5" r:id="rId4"/>
    <sheet name="Sheet5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H20" i="3" l="1"/>
  <c r="H14" i="3"/>
  <c r="H7" i="3"/>
  <c r="H31" i="5"/>
  <c r="H25" i="5"/>
  <c r="H14" i="5"/>
  <c r="H7" i="5"/>
  <c r="I14" i="2"/>
  <c r="D16" i="4"/>
  <c r="D10" i="4"/>
  <c r="H13" i="1"/>
  <c r="H7" i="1"/>
  <c r="H20" i="5" l="1" a="1"/>
  <c r="H2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<sst xmlns="http://schemas.openxmlformats.org/spreadsheetml/2006/main" count="335" uniqueCount="79">
  <si>
    <t>Emp Name</t>
  </si>
  <si>
    <t>Email Address</t>
  </si>
  <si>
    <t>Job Title</t>
  </si>
  <si>
    <t>Salary</t>
  </si>
  <si>
    <t>Rocco Anderson</t>
  </si>
  <si>
    <t>Rocco_Anderson5427@acrit.org</t>
  </si>
  <si>
    <t>Project Manager</t>
  </si>
  <si>
    <t>Hank Saunders</t>
  </si>
  <si>
    <t>Hank_Saunders8364@extex.org</t>
  </si>
  <si>
    <t>Chef Manager</t>
  </si>
  <si>
    <t>Eden Connell</t>
  </si>
  <si>
    <t>Eden_Connell4891@irrepsy.com</t>
  </si>
  <si>
    <t>Owen Lindop</t>
  </si>
  <si>
    <t>Owen_Lindop4826@womeona.net</t>
  </si>
  <si>
    <t>Business Broker</t>
  </si>
  <si>
    <t>Barney Cavanagh</t>
  </si>
  <si>
    <t>Barney_Cavanagh8048@extex.org</t>
  </si>
  <si>
    <t>Fabricator</t>
  </si>
  <si>
    <t>Mason Randall</t>
  </si>
  <si>
    <t>Mason_Randall7355@sheye.org</t>
  </si>
  <si>
    <t>Food Technologist</t>
  </si>
  <si>
    <t>Penelope Burge</t>
  </si>
  <si>
    <t>Penelope_Burge3295@cispeto.com</t>
  </si>
  <si>
    <t>Fred Stone</t>
  </si>
  <si>
    <t>Fred_Stone667@cispeto.com</t>
  </si>
  <si>
    <t>Javier Power</t>
  </si>
  <si>
    <t>Javier_Power8197@infotech44.tech</t>
  </si>
  <si>
    <t>Designer</t>
  </si>
  <si>
    <t>Joyce London</t>
  </si>
  <si>
    <t>Joyce_London9945@bulaffy.com</t>
  </si>
  <si>
    <t>Steward</t>
  </si>
  <si>
    <t>Eduardo Dale</t>
  </si>
  <si>
    <t>Eduardo_Dale6990@sheye.org</t>
  </si>
  <si>
    <t>HR Coordinator</t>
  </si>
  <si>
    <t>Wade Hepburn</t>
  </si>
  <si>
    <t>Wade_Hepburn96@gmail.com</t>
  </si>
  <si>
    <t>Mobile Developer</t>
  </si>
  <si>
    <t>Barney Selby</t>
  </si>
  <si>
    <t>Barney_Selby4788@irrepsy.com</t>
  </si>
  <si>
    <t>Baker</t>
  </si>
  <si>
    <t>Peter Daniells</t>
  </si>
  <si>
    <t>Peter_Daniells7930@guentu.biz</t>
  </si>
  <si>
    <t>Webmaster</t>
  </si>
  <si>
    <t>Percy Denton</t>
  </si>
  <si>
    <t>Percy_Denton5997@bretoux.com</t>
  </si>
  <si>
    <t>Treasurer</t>
  </si>
  <si>
    <t>Ronald Rycroft</t>
  </si>
  <si>
    <t>Ronald_Rycroft7391@fuliss.net</t>
  </si>
  <si>
    <t>Noah Kidd</t>
  </si>
  <si>
    <t>Noah_Kidd6142@gompie.com</t>
  </si>
  <si>
    <t>Banker</t>
  </si>
  <si>
    <t>Mark Freeburn</t>
  </si>
  <si>
    <t>Mark_Freeburn4410@brety.org</t>
  </si>
  <si>
    <t>Retail Trainee</t>
  </si>
  <si>
    <t>Melanie Cartwright</t>
  </si>
  <si>
    <t>Melanie_Cartwright8871@irrepsy.com</t>
  </si>
  <si>
    <t>IT Support Staff</t>
  </si>
  <si>
    <t>Harvey Andrews</t>
  </si>
  <si>
    <t>Harvey_Andrews619@mafthy.com</t>
  </si>
  <si>
    <t>Emp ID</t>
  </si>
  <si>
    <t>Stock broker</t>
  </si>
  <si>
    <t>Book keeper</t>
  </si>
  <si>
    <t>Q) Find the employee name with employee id 107</t>
  </si>
  <si>
    <t>Q) Find the job title of Fred Stone.</t>
  </si>
  <si>
    <t xml:space="preserve">Emp Name </t>
  </si>
  <si>
    <t>Q) Find the salary of Hank Saunders</t>
  </si>
  <si>
    <t>Q) Find the Emp ID of Owen_Lindop4826@womeona.net</t>
  </si>
  <si>
    <t xml:space="preserve">Q) Find the salary of Peter Daniells </t>
  </si>
  <si>
    <t>Q) Find the Emp ID with salary $10000</t>
  </si>
  <si>
    <t>James Bond</t>
  </si>
  <si>
    <t>Q) Check for employee James Bond. If the value is not present, display "Not Found".</t>
  </si>
  <si>
    <t>Q) Find the salary of Eden Connel using Hlookup</t>
  </si>
  <si>
    <t>Q) Find the job title for Emp ID 105</t>
  </si>
  <si>
    <t>Q) What the Job Title of Javier Power?</t>
  </si>
  <si>
    <t>Q) What is the Emp ID of the person with email Peter_Daniells7930@guentu.biz</t>
  </si>
  <si>
    <t>Q) What is the job title and salary of Eduardo Dale?</t>
  </si>
  <si>
    <t>Q) Find Name not found for Emp ID 121</t>
  </si>
  <si>
    <t>Sum (salary)</t>
  </si>
  <si>
    <t>Q) Find the sum of salaries for Emp ID between 101 and 104.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</si>
</sst>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eter_Daniells7930@guentu.biz" TargetMode="External"/><Relationship Id="rId1" Type="http://schemas.openxmlformats.org/officeDocument/2006/relationships/hyperlink" Target="mailto:Peter_Daniells7930@guentu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5D83-6AC8-4FBB-B71B-CA858148E15B}">
  <sheetPr codeName="Sheet1"/>
  <dimension ref="A1:K21"/>
  <sheetViews>
    <sheetView workbookViewId="0">
      <selection activeCell="G10" activeCellId="1" sqref="G4 G10"/>
    </sheetView>
  </sheetViews>
  <sheetFormatPr defaultRowHeight="14.4" x14ac:dyDescent="0.3"/>
  <cols>
    <col min="2" max="2" width="16.88671875" bestFit="1" customWidth="1"/>
    <col min="3" max="3" width="33.44140625" bestFit="1" customWidth="1"/>
    <col min="4" max="4" width="16" bestFit="1" customWidth="1"/>
    <col min="5" max="5" width="11.33203125" bestFit="1" customWidth="1"/>
    <col min="7" max="7" width="11.33203125" customWidth="1"/>
    <col min="8" max="8" width="13.88671875" bestFit="1" customWidth="1"/>
  </cols>
  <sheetData>
    <row r="1" spans="1:11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1" x14ac:dyDescent="0.3">
      <c r="A2">
        <v>101</v>
      </c>
      <c r="B2" t="s">
        <v>4</v>
      </c>
      <c r="C2" t="s">
        <v>5</v>
      </c>
      <c r="D2" t="s">
        <v>6</v>
      </c>
      <c r="E2" s="2">
        <v>4000</v>
      </c>
    </row>
    <row r="3" spans="1:11" x14ac:dyDescent="0.3">
      <c r="A3">
        <v>102</v>
      </c>
      <c r="B3" t="s">
        <v>7</v>
      </c>
      <c r="C3" t="s">
        <v>8</v>
      </c>
      <c r="D3" t="s">
        <v>9</v>
      </c>
      <c r="E3" s="2">
        <v>5400</v>
      </c>
    </row>
    <row r="4" spans="1:11" x14ac:dyDescent="0.3">
      <c r="A4">
        <v>103</v>
      </c>
      <c r="B4" t="s">
        <v>10</v>
      </c>
      <c r="C4" t="s">
        <v>11</v>
      </c>
      <c r="D4" t="s">
        <v>9</v>
      </c>
      <c r="E4" s="2">
        <v>3000</v>
      </c>
      <c r="G4" s="3" t="s">
        <v>62</v>
      </c>
      <c r="H4" s="4"/>
      <c r="I4" s="4"/>
      <c r="J4" s="4"/>
      <c r="K4" s="4"/>
    </row>
    <row r="5" spans="1:11" x14ac:dyDescent="0.3">
      <c r="A5">
        <v>104</v>
      </c>
      <c r="B5" t="s">
        <v>12</v>
      </c>
      <c r="C5" t="s">
        <v>13</v>
      </c>
      <c r="D5" t="s">
        <v>14</v>
      </c>
      <c r="E5" s="2">
        <v>8000</v>
      </c>
    </row>
    <row r="6" spans="1:11" x14ac:dyDescent="0.3">
      <c r="A6">
        <v>105</v>
      </c>
      <c r="B6" t="s">
        <v>15</v>
      </c>
      <c r="C6" t="s">
        <v>16</v>
      </c>
      <c r="D6" t="s">
        <v>17</v>
      </c>
      <c r="E6" s="2">
        <v>2000</v>
      </c>
      <c r="G6" s="1" t="s">
        <v>59</v>
      </c>
      <c r="H6">
        <v>107</v>
      </c>
    </row>
    <row r="7" spans="1:11" x14ac:dyDescent="0.3">
      <c r="A7">
        <v>106</v>
      </c>
      <c r="B7" t="s">
        <v>18</v>
      </c>
      <c r="C7" t="s">
        <v>19</v>
      </c>
      <c r="D7" t="s">
        <v>20</v>
      </c>
      <c r="E7" s="2">
        <v>5000</v>
      </c>
      <c r="G7" s="1" t="s">
        <v>0</v>
      </c>
      <c r="H7" s="5" t="str">
        <f>VLOOKUP(A8,A1:E21,2,0)</f>
        <v>Penelope Burge</v>
      </c>
    </row>
    <row r="8" spans="1:11" x14ac:dyDescent="0.3">
      <c r="A8">
        <v>107</v>
      </c>
      <c r="B8" t="s">
        <v>21</v>
      </c>
      <c r="C8" t="s">
        <v>22</v>
      </c>
      <c r="D8" t="s">
        <v>61</v>
      </c>
      <c r="E8" s="2">
        <v>4200</v>
      </c>
    </row>
    <row r="9" spans="1:11" x14ac:dyDescent="0.3">
      <c r="A9">
        <v>108</v>
      </c>
      <c r="B9" t="s">
        <v>23</v>
      </c>
      <c r="C9" t="s">
        <v>24</v>
      </c>
      <c r="D9" t="s">
        <v>60</v>
      </c>
      <c r="E9" s="2">
        <v>6000</v>
      </c>
    </row>
    <row r="10" spans="1:11" x14ac:dyDescent="0.3">
      <c r="A10">
        <v>109</v>
      </c>
      <c r="B10" t="s">
        <v>25</v>
      </c>
      <c r="C10" t="s">
        <v>26</v>
      </c>
      <c r="D10" t="s">
        <v>27</v>
      </c>
      <c r="E10" s="2">
        <v>10000</v>
      </c>
      <c r="G10" s="4" t="s">
        <v>63</v>
      </c>
      <c r="H10" s="4"/>
      <c r="I10" s="4"/>
    </row>
    <row r="11" spans="1:11" x14ac:dyDescent="0.3">
      <c r="A11">
        <v>110</v>
      </c>
      <c r="B11" t="s">
        <v>28</v>
      </c>
      <c r="C11" t="s">
        <v>29</v>
      </c>
      <c r="D11" t="s">
        <v>30</v>
      </c>
      <c r="E11" s="2">
        <v>7000</v>
      </c>
    </row>
    <row r="12" spans="1:11" x14ac:dyDescent="0.3">
      <c r="A12">
        <v>111</v>
      </c>
      <c r="B12" t="s">
        <v>31</v>
      </c>
      <c r="C12" t="s">
        <v>32</v>
      </c>
      <c r="D12" t="s">
        <v>33</v>
      </c>
      <c r="E12" s="2">
        <v>6700</v>
      </c>
      <c r="G12" s="1" t="s">
        <v>64</v>
      </c>
      <c r="H12" t="s">
        <v>23</v>
      </c>
    </row>
    <row r="13" spans="1:11" x14ac:dyDescent="0.3">
      <c r="A13">
        <v>112</v>
      </c>
      <c r="B13" t="s">
        <v>34</v>
      </c>
      <c r="C13" t="s">
        <v>35</v>
      </c>
      <c r="D13" t="s">
        <v>36</v>
      </c>
      <c r="E13" s="2">
        <v>12000</v>
      </c>
      <c r="G13" s="1" t="s">
        <v>2</v>
      </c>
      <c r="H13" s="5" t="str">
        <f>VLOOKUP(H12,B1:D21,3,0)</f>
        <v>Stock broker</v>
      </c>
    </row>
    <row r="14" spans="1:11" x14ac:dyDescent="0.3">
      <c r="A14">
        <v>113</v>
      </c>
      <c r="B14" t="s">
        <v>37</v>
      </c>
      <c r="C14" t="s">
        <v>38</v>
      </c>
      <c r="D14" t="s">
        <v>39</v>
      </c>
      <c r="E14" s="2">
        <v>2300</v>
      </c>
    </row>
    <row r="15" spans="1:11" x14ac:dyDescent="0.3">
      <c r="A15">
        <v>114</v>
      </c>
      <c r="B15" t="s">
        <v>40</v>
      </c>
      <c r="C15" t="s">
        <v>41</v>
      </c>
      <c r="D15" t="s">
        <v>42</v>
      </c>
      <c r="E15" s="2">
        <v>5600</v>
      </c>
    </row>
    <row r="16" spans="1:11" x14ac:dyDescent="0.3">
      <c r="A16">
        <v>115</v>
      </c>
      <c r="B16" t="s">
        <v>43</v>
      </c>
      <c r="C16" t="s">
        <v>44</v>
      </c>
      <c r="D16" t="s">
        <v>45</v>
      </c>
      <c r="E16" s="2">
        <v>4200</v>
      </c>
    </row>
    <row r="17" spans="1:5" x14ac:dyDescent="0.3">
      <c r="A17">
        <v>116</v>
      </c>
      <c r="B17" t="s">
        <v>46</v>
      </c>
      <c r="C17" t="s">
        <v>47</v>
      </c>
      <c r="D17" t="s">
        <v>61</v>
      </c>
      <c r="E17" s="2">
        <v>3200</v>
      </c>
    </row>
    <row r="18" spans="1:5" x14ac:dyDescent="0.3">
      <c r="A18">
        <v>117</v>
      </c>
      <c r="B18" t="s">
        <v>48</v>
      </c>
      <c r="C18" t="s">
        <v>49</v>
      </c>
      <c r="D18" t="s">
        <v>50</v>
      </c>
      <c r="E18" s="2">
        <v>9000</v>
      </c>
    </row>
    <row r="19" spans="1:5" x14ac:dyDescent="0.3">
      <c r="A19">
        <v>118</v>
      </c>
      <c r="B19" t="s">
        <v>51</v>
      </c>
      <c r="C19" t="s">
        <v>52</v>
      </c>
      <c r="D19" t="s">
        <v>53</v>
      </c>
      <c r="E19" s="2">
        <v>5300</v>
      </c>
    </row>
    <row r="20" spans="1:5" x14ac:dyDescent="0.3">
      <c r="A20">
        <v>119</v>
      </c>
      <c r="B20" t="s">
        <v>54</v>
      </c>
      <c r="C20" t="s">
        <v>55</v>
      </c>
      <c r="D20" t="s">
        <v>56</v>
      </c>
      <c r="E20" s="2">
        <v>6400</v>
      </c>
    </row>
    <row r="21" spans="1:5" x14ac:dyDescent="0.3">
      <c r="A21">
        <v>120</v>
      </c>
      <c r="B21" t="s">
        <v>57</v>
      </c>
      <c r="C21" t="s">
        <v>58</v>
      </c>
      <c r="D21" t="s">
        <v>14</v>
      </c>
      <c r="E21" s="2">
        <v>8000</v>
      </c>
    </row>
  </sheetData>
  <sortState xmlns:xlrd2="http://schemas.microsoft.com/office/spreadsheetml/2017/richdata2" ref="A2:L141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6787-EEF9-492E-BB39-884126B0B2E4}">
  <sheetPr codeName="Sheet2"/>
  <dimension ref="A1:G16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9.88671875" bestFit="1" customWidth="1"/>
    <col min="3" max="3" width="10.44140625" customWidth="1"/>
    <col min="4" max="4" width="11.109375" customWidth="1"/>
    <col min="5" max="5" width="10.44140625" customWidth="1"/>
    <col min="6" max="6" width="11.109375" customWidth="1"/>
    <col min="7" max="7" width="11.44140625" customWidth="1"/>
  </cols>
  <sheetData>
    <row r="1" spans="1:7" x14ac:dyDescent="0.3">
      <c r="A1" s="1" t="s">
        <v>59</v>
      </c>
      <c r="B1">
        <v>101</v>
      </c>
      <c r="C1">
        <v>102</v>
      </c>
      <c r="D1">
        <v>103</v>
      </c>
      <c r="E1">
        <v>104</v>
      </c>
      <c r="F1">
        <v>105</v>
      </c>
      <c r="G1">
        <v>106</v>
      </c>
    </row>
    <row r="2" spans="1:7" x14ac:dyDescent="0.3">
      <c r="A2" s="1" t="s">
        <v>0</v>
      </c>
      <c r="B2" t="s">
        <v>4</v>
      </c>
      <c r="C2" t="s">
        <v>7</v>
      </c>
      <c r="D2" t="s">
        <v>10</v>
      </c>
      <c r="E2" t="s">
        <v>12</v>
      </c>
      <c r="F2" t="s">
        <v>15</v>
      </c>
      <c r="G2" t="s">
        <v>18</v>
      </c>
    </row>
    <row r="3" spans="1:7" x14ac:dyDescent="0.3">
      <c r="A3" s="1" t="s">
        <v>1</v>
      </c>
      <c r="B3" t="s">
        <v>5</v>
      </c>
      <c r="C3" t="s">
        <v>8</v>
      </c>
      <c r="D3" t="s">
        <v>11</v>
      </c>
      <c r="E3" t="s">
        <v>13</v>
      </c>
      <c r="F3" t="s">
        <v>16</v>
      </c>
      <c r="G3" t="s">
        <v>19</v>
      </c>
    </row>
    <row r="4" spans="1:7" x14ac:dyDescent="0.3">
      <c r="A4" s="1" t="s">
        <v>2</v>
      </c>
      <c r="B4" t="s">
        <v>6</v>
      </c>
      <c r="C4" t="s">
        <v>9</v>
      </c>
      <c r="D4" t="s">
        <v>9</v>
      </c>
      <c r="E4" t="s">
        <v>14</v>
      </c>
      <c r="F4" t="s">
        <v>17</v>
      </c>
      <c r="G4" t="s">
        <v>20</v>
      </c>
    </row>
    <row r="5" spans="1:7" x14ac:dyDescent="0.3">
      <c r="A5" s="1" t="s">
        <v>3</v>
      </c>
      <c r="B5" s="2">
        <v>4000</v>
      </c>
      <c r="C5" s="2">
        <v>5400</v>
      </c>
      <c r="D5" s="2">
        <v>3000</v>
      </c>
      <c r="E5" s="2">
        <v>8000</v>
      </c>
      <c r="F5" s="2">
        <v>2000</v>
      </c>
      <c r="G5" s="2">
        <v>5000</v>
      </c>
    </row>
    <row r="7" spans="1:7" x14ac:dyDescent="0.3">
      <c r="C7" s="4" t="s">
        <v>71</v>
      </c>
      <c r="D7" s="4"/>
      <c r="E7" s="4"/>
      <c r="F7" s="4"/>
    </row>
    <row r="9" spans="1:7" x14ac:dyDescent="0.3">
      <c r="C9" s="1" t="s">
        <v>0</v>
      </c>
      <c r="D9" t="s">
        <v>10</v>
      </c>
    </row>
    <row r="10" spans="1:7" x14ac:dyDescent="0.3">
      <c r="C10" s="1" t="s">
        <v>3</v>
      </c>
      <c r="D10" s="5">
        <f>HLOOKUP(D9,A2:G5,4,0)</f>
        <v>3000</v>
      </c>
    </row>
    <row r="13" spans="1:7" x14ac:dyDescent="0.3">
      <c r="C13" s="4" t="s">
        <v>72</v>
      </c>
      <c r="D13" s="4"/>
      <c r="E13" s="4"/>
    </row>
    <row r="15" spans="1:7" x14ac:dyDescent="0.3">
      <c r="C15" s="1" t="s">
        <v>59</v>
      </c>
      <c r="D15">
        <v>105</v>
      </c>
    </row>
    <row r="16" spans="1:7" x14ac:dyDescent="0.3">
      <c r="C16" s="1" t="s">
        <v>2</v>
      </c>
      <c r="D16" s="5" t="str">
        <f>HLOOKUP(D15,A1:G4,4,0)</f>
        <v>Fabricator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BE93-655B-4331-9C13-8480FBB294A1}">
  <sheetPr codeName="Sheet3"/>
  <dimension ref="A1:L21"/>
  <sheetViews>
    <sheetView tabSelected="1" workbookViewId="0">
      <selection activeCell="G16" sqref="G16"/>
    </sheetView>
  </sheetViews>
  <sheetFormatPr defaultRowHeight="14.4" x14ac:dyDescent="0.3"/>
  <cols>
    <col min="2" max="2" width="16.88671875" bestFit="1" customWidth="1"/>
    <col min="3" max="3" width="33.44140625" bestFit="1" customWidth="1"/>
    <col min="4" max="4" width="16" bestFit="1" customWidth="1"/>
    <col min="8" max="8" width="13.109375" customWidth="1"/>
    <col min="9" max="9" width="12.88671875" customWidth="1"/>
    <col min="12" max="12" width="15.88671875" bestFit="1" customWidth="1"/>
  </cols>
  <sheetData>
    <row r="1" spans="1:12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2" x14ac:dyDescent="0.3">
      <c r="A2">
        <v>105</v>
      </c>
      <c r="B2" t="s">
        <v>15</v>
      </c>
      <c r="C2" t="s">
        <v>16</v>
      </c>
      <c r="D2" t="s">
        <v>17</v>
      </c>
      <c r="E2">
        <v>2000</v>
      </c>
    </row>
    <row r="3" spans="1:12" x14ac:dyDescent="0.3">
      <c r="A3">
        <v>113</v>
      </c>
      <c r="B3" t="s">
        <v>37</v>
      </c>
      <c r="C3" t="s">
        <v>38</v>
      </c>
      <c r="D3" t="s">
        <v>39</v>
      </c>
      <c r="E3">
        <v>2300</v>
      </c>
    </row>
    <row r="4" spans="1:12" x14ac:dyDescent="0.3">
      <c r="A4">
        <v>103</v>
      </c>
      <c r="B4" t="s">
        <v>10</v>
      </c>
      <c r="C4" t="s">
        <v>11</v>
      </c>
      <c r="D4" t="s">
        <v>9</v>
      </c>
      <c r="E4">
        <v>3000</v>
      </c>
    </row>
    <row r="5" spans="1:12" x14ac:dyDescent="0.3">
      <c r="A5">
        <v>111</v>
      </c>
      <c r="B5" t="s">
        <v>31</v>
      </c>
      <c r="C5" t="s">
        <v>32</v>
      </c>
      <c r="D5" t="s">
        <v>33</v>
      </c>
      <c r="E5">
        <v>6700</v>
      </c>
      <c r="H5" s="4" t="s">
        <v>65</v>
      </c>
      <c r="I5" s="4"/>
      <c r="J5" s="4"/>
      <c r="K5" s="4"/>
    </row>
    <row r="6" spans="1:12" x14ac:dyDescent="0.3">
      <c r="A6">
        <v>108</v>
      </c>
      <c r="B6" t="s">
        <v>23</v>
      </c>
      <c r="C6" t="s">
        <v>24</v>
      </c>
      <c r="D6" t="s">
        <v>60</v>
      </c>
      <c r="E6">
        <v>6000</v>
      </c>
    </row>
    <row r="7" spans="1:12" x14ac:dyDescent="0.3">
      <c r="A7">
        <v>102</v>
      </c>
      <c r="B7" t="s">
        <v>7</v>
      </c>
      <c r="C7" t="s">
        <v>8</v>
      </c>
      <c r="D7" t="s">
        <v>9</v>
      </c>
      <c r="E7">
        <v>5400</v>
      </c>
      <c r="H7" s="1" t="s">
        <v>0</v>
      </c>
      <c r="I7" t="s">
        <v>7</v>
      </c>
    </row>
    <row r="8" spans="1:12" x14ac:dyDescent="0.3">
      <c r="A8">
        <v>120</v>
      </c>
      <c r="B8" t="s">
        <v>57</v>
      </c>
      <c r="C8" t="s">
        <v>58</v>
      </c>
      <c r="D8" t="s">
        <v>14</v>
      </c>
      <c r="E8">
        <v>8000</v>
      </c>
      <c r="H8" s="1" t="s">
        <v>3</v>
      </c>
      <c r="I8" s="5">
        <f>LOOKUP(I7,B1:B21,E1:E21)</f>
        <v>5400</v>
      </c>
    </row>
    <row r="9" spans="1:12" x14ac:dyDescent="0.3">
      <c r="A9">
        <v>109</v>
      </c>
      <c r="B9" t="s">
        <v>25</v>
      </c>
      <c r="C9" t="s">
        <v>26</v>
      </c>
      <c r="D9" t="s">
        <v>27</v>
      </c>
      <c r="E9">
        <v>10000</v>
      </c>
    </row>
    <row r="10" spans="1:12" x14ac:dyDescent="0.3">
      <c r="A10">
        <v>110</v>
      </c>
      <c r="B10" t="s">
        <v>28</v>
      </c>
      <c r="C10" t="s">
        <v>29</v>
      </c>
      <c r="D10" t="s">
        <v>30</v>
      </c>
      <c r="E10">
        <v>7000</v>
      </c>
    </row>
    <row r="11" spans="1:12" x14ac:dyDescent="0.3">
      <c r="A11">
        <v>118</v>
      </c>
      <c r="B11" t="s">
        <v>51</v>
      </c>
      <c r="C11" t="s">
        <v>52</v>
      </c>
      <c r="D11" t="s">
        <v>53</v>
      </c>
      <c r="E11">
        <v>5300</v>
      </c>
      <c r="H11" s="4" t="s">
        <v>66</v>
      </c>
      <c r="I11" s="4"/>
      <c r="J11" s="4"/>
      <c r="K11" s="4"/>
      <c r="L11" s="4"/>
    </row>
    <row r="12" spans="1:12" x14ac:dyDescent="0.3">
      <c r="A12">
        <v>106</v>
      </c>
      <c r="B12" t="s">
        <v>18</v>
      </c>
      <c r="C12" t="s">
        <v>19</v>
      </c>
      <c r="D12" t="s">
        <v>20</v>
      </c>
      <c r="E12">
        <v>5000</v>
      </c>
    </row>
    <row r="13" spans="1:12" x14ac:dyDescent="0.3">
      <c r="A13">
        <v>119</v>
      </c>
      <c r="B13" t="s">
        <v>54</v>
      </c>
      <c r="C13" t="s">
        <v>55</v>
      </c>
      <c r="D13" t="s">
        <v>56</v>
      </c>
      <c r="E13">
        <v>6400</v>
      </c>
      <c r="H13" s="1" t="s">
        <v>1</v>
      </c>
      <c r="I13" t="s">
        <v>13</v>
      </c>
    </row>
    <row r="14" spans="1:12" x14ac:dyDescent="0.3">
      <c r="A14">
        <v>117</v>
      </c>
      <c r="B14" t="s">
        <v>48</v>
      </c>
      <c r="C14" t="s">
        <v>49</v>
      </c>
      <c r="D14" t="s">
        <v>50</v>
      </c>
      <c r="E14">
        <v>9000</v>
      </c>
      <c r="H14" s="1" t="s">
        <v>59</v>
      </c>
      <c r="I14" s="5">
        <f>LOOKUP(I13,C1:C21,A1:A21)</f>
        <v>104</v>
      </c>
    </row>
    <row r="15" spans="1:12" x14ac:dyDescent="0.3">
      <c r="A15">
        <v>104</v>
      </c>
      <c r="B15" t="s">
        <v>12</v>
      </c>
      <c r="C15" t="s">
        <v>13</v>
      </c>
      <c r="D15" t="s">
        <v>14</v>
      </c>
      <c r="E15">
        <v>8000</v>
      </c>
    </row>
    <row r="16" spans="1:12" x14ac:dyDescent="0.3">
      <c r="A16">
        <v>107</v>
      </c>
      <c r="B16" t="s">
        <v>21</v>
      </c>
      <c r="C16" t="s">
        <v>22</v>
      </c>
      <c r="D16" t="s">
        <v>61</v>
      </c>
      <c r="E16">
        <v>4200</v>
      </c>
    </row>
    <row r="17" spans="1:5" x14ac:dyDescent="0.3">
      <c r="A17">
        <v>115</v>
      </c>
      <c r="B17" t="s">
        <v>43</v>
      </c>
      <c r="C17" t="s">
        <v>44</v>
      </c>
      <c r="D17" t="s">
        <v>45</v>
      </c>
      <c r="E17">
        <v>4200</v>
      </c>
    </row>
    <row r="18" spans="1:5" x14ac:dyDescent="0.3">
      <c r="A18">
        <v>114</v>
      </c>
      <c r="B18" t="s">
        <v>40</v>
      </c>
      <c r="C18" t="s">
        <v>41</v>
      </c>
      <c r="D18" t="s">
        <v>42</v>
      </c>
      <c r="E18">
        <v>5600</v>
      </c>
    </row>
    <row r="19" spans="1:5" x14ac:dyDescent="0.3">
      <c r="A19">
        <v>101</v>
      </c>
      <c r="B19" t="s">
        <v>4</v>
      </c>
      <c r="C19" t="s">
        <v>5</v>
      </c>
      <c r="D19" t="s">
        <v>6</v>
      </c>
      <c r="E19">
        <v>4000</v>
      </c>
    </row>
    <row r="20" spans="1:5" x14ac:dyDescent="0.3">
      <c r="A20">
        <v>116</v>
      </c>
      <c r="B20" t="s">
        <v>46</v>
      </c>
      <c r="C20" t="s">
        <v>47</v>
      </c>
      <c r="D20" t="s">
        <v>61</v>
      </c>
      <c r="E20">
        <v>3200</v>
      </c>
    </row>
    <row r="21" spans="1:5" x14ac:dyDescent="0.3">
      <c r="A21">
        <v>112</v>
      </c>
      <c r="B21" t="s">
        <v>34</v>
      </c>
      <c r="C21" t="s">
        <v>35</v>
      </c>
      <c r="D21" t="s">
        <v>36</v>
      </c>
      <c r="E21">
        <v>12000</v>
      </c>
    </row>
  </sheetData>
  <sortState xmlns:xlrd2="http://schemas.microsoft.com/office/spreadsheetml/2017/richdata2" ref="A2:E23">
    <sortCondition ref="C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504B-A28E-47BC-A6BC-C4F933A8E9E5}">
  <sheetPr codeName="Sheet4"/>
  <dimension ref="A1:N31"/>
  <sheetViews>
    <sheetView workbookViewId="0">
      <selection activeCell="H7" sqref="H7"/>
    </sheetView>
  </sheetViews>
  <sheetFormatPr defaultRowHeight="14.4" x14ac:dyDescent="0.3"/>
  <cols>
    <col min="2" max="2" width="16.88671875" bestFit="1" customWidth="1"/>
    <col min="3" max="3" width="33.44140625" bestFit="1" customWidth="1"/>
    <col min="4" max="4" width="16" bestFit="1" customWidth="1"/>
    <col min="5" max="5" width="10.88671875" bestFit="1" customWidth="1"/>
    <col min="7" max="7" width="13" customWidth="1"/>
    <col min="8" max="8" width="14.44140625" customWidth="1"/>
  </cols>
  <sheetData>
    <row r="1" spans="1:14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4" x14ac:dyDescent="0.3">
      <c r="A2">
        <v>101</v>
      </c>
      <c r="B2" t="s">
        <v>4</v>
      </c>
      <c r="C2" t="s">
        <v>5</v>
      </c>
      <c r="D2" t="s">
        <v>6</v>
      </c>
      <c r="E2" s="2">
        <v>4000</v>
      </c>
    </row>
    <row r="3" spans="1:14" x14ac:dyDescent="0.3">
      <c r="A3">
        <v>102</v>
      </c>
      <c r="B3" t="s">
        <v>7</v>
      </c>
      <c r="C3" t="s">
        <v>8</v>
      </c>
      <c r="D3" t="s">
        <v>9</v>
      </c>
      <c r="E3" s="2">
        <v>5400</v>
      </c>
    </row>
    <row r="4" spans="1:14" x14ac:dyDescent="0.3">
      <c r="A4">
        <v>103</v>
      </c>
      <c r="B4" t="s">
        <v>10</v>
      </c>
      <c r="C4" t="s">
        <v>11</v>
      </c>
      <c r="D4" t="s">
        <v>9</v>
      </c>
      <c r="E4" s="2">
        <v>3000</v>
      </c>
      <c r="G4" s="4" t="s">
        <v>73</v>
      </c>
      <c r="H4" s="4"/>
      <c r="I4" s="4"/>
      <c r="J4" s="4"/>
    </row>
    <row r="5" spans="1:14" x14ac:dyDescent="0.3">
      <c r="A5">
        <v>104</v>
      </c>
      <c r="B5" t="s">
        <v>12</v>
      </c>
      <c r="C5" t="s">
        <v>13</v>
      </c>
      <c r="D5" t="s">
        <v>14</v>
      </c>
      <c r="E5" s="2">
        <v>8000</v>
      </c>
    </row>
    <row r="6" spans="1:14" x14ac:dyDescent="0.3">
      <c r="A6">
        <v>105</v>
      </c>
      <c r="B6" t="s">
        <v>15</v>
      </c>
      <c r="C6" t="s">
        <v>16</v>
      </c>
      <c r="D6" t="s">
        <v>17</v>
      </c>
      <c r="E6" s="2">
        <v>2000</v>
      </c>
      <c r="G6" s="1" t="s">
        <v>0</v>
      </c>
      <c r="H6" t="s">
        <v>25</v>
      </c>
    </row>
    <row r="7" spans="1:14" x14ac:dyDescent="0.3">
      <c r="A7">
        <v>106</v>
      </c>
      <c r="B7" t="s">
        <v>18</v>
      </c>
      <c r="C7" t="s">
        <v>19</v>
      </c>
      <c r="D7" t="s">
        <v>20</v>
      </c>
      <c r="E7" s="2">
        <v>5000</v>
      </c>
      <c r="G7" s="1" t="s">
        <v>2</v>
      </c>
      <c r="H7" s="5" t="str">
        <f>_xlfn.XLOOKUP(H6,B2:B21,D2:D21)</f>
        <v>Designer</v>
      </c>
    </row>
    <row r="8" spans="1:14" x14ac:dyDescent="0.3">
      <c r="A8">
        <v>107</v>
      </c>
      <c r="B8" t="s">
        <v>21</v>
      </c>
      <c r="C8" t="s">
        <v>22</v>
      </c>
      <c r="D8" t="s">
        <v>61</v>
      </c>
      <c r="E8" s="2">
        <v>4200</v>
      </c>
    </row>
    <row r="9" spans="1:14" x14ac:dyDescent="0.3">
      <c r="A9">
        <v>108</v>
      </c>
      <c r="B9" t="s">
        <v>23</v>
      </c>
      <c r="C9" t="s">
        <v>24</v>
      </c>
      <c r="D9" t="s">
        <v>60</v>
      </c>
      <c r="E9" s="2">
        <v>6000</v>
      </c>
    </row>
    <row r="10" spans="1:14" x14ac:dyDescent="0.3">
      <c r="A10">
        <v>109</v>
      </c>
      <c r="B10" t="s">
        <v>25</v>
      </c>
      <c r="C10" t="s">
        <v>26</v>
      </c>
      <c r="D10" t="s">
        <v>27</v>
      </c>
      <c r="E10" s="2">
        <v>10000</v>
      </c>
      <c r="G10" s="4" t="s">
        <v>74</v>
      </c>
      <c r="H10" s="4"/>
      <c r="I10" s="4"/>
      <c r="J10" s="4"/>
      <c r="K10" s="4"/>
      <c r="L10" s="4"/>
      <c r="M10" s="4"/>
      <c r="N10" s="4"/>
    </row>
    <row r="11" spans="1:14" x14ac:dyDescent="0.3">
      <c r="A11">
        <v>110</v>
      </c>
      <c r="B11" t="s">
        <v>28</v>
      </c>
      <c r="C11" t="s">
        <v>29</v>
      </c>
      <c r="D11" t="s">
        <v>30</v>
      </c>
      <c r="E11" s="2">
        <v>7000</v>
      </c>
    </row>
    <row r="12" spans="1:14" x14ac:dyDescent="0.3">
      <c r="A12">
        <v>111</v>
      </c>
      <c r="B12" t="s">
        <v>31</v>
      </c>
      <c r="C12" t="s">
        <v>32</v>
      </c>
      <c r="D12" t="s">
        <v>33</v>
      </c>
      <c r="E12" s="2">
        <v>6700</v>
      </c>
    </row>
    <row r="13" spans="1:14" x14ac:dyDescent="0.3">
      <c r="A13">
        <v>112</v>
      </c>
      <c r="B13" t="s">
        <v>34</v>
      </c>
      <c r="C13" t="s">
        <v>35</v>
      </c>
      <c r="D13" t="s">
        <v>36</v>
      </c>
      <c r="E13" s="2">
        <v>12000</v>
      </c>
      <c r="G13" s="1" t="s">
        <v>1</v>
      </c>
      <c r="H13" s="7" t="s">
        <v>41</v>
      </c>
    </row>
    <row r="14" spans="1:14" x14ac:dyDescent="0.3">
      <c r="A14">
        <v>113</v>
      </c>
      <c r="B14" t="s">
        <v>37</v>
      </c>
      <c r="C14" t="s">
        <v>38</v>
      </c>
      <c r="D14" t="s">
        <v>39</v>
      </c>
      <c r="E14" s="2">
        <v>2300</v>
      </c>
      <c r="G14" s="1" t="s">
        <v>59</v>
      </c>
      <c r="H14" s="5">
        <f>_xlfn.XLOOKUP(H13,C2:C21,A2:A21)</f>
        <v>114</v>
      </c>
    </row>
    <row r="15" spans="1:14" x14ac:dyDescent="0.3">
      <c r="A15">
        <v>114</v>
      </c>
      <c r="B15" t="s">
        <v>40</v>
      </c>
      <c r="C15" s="7" t="s">
        <v>41</v>
      </c>
      <c r="D15" t="s">
        <v>42</v>
      </c>
      <c r="E15" s="2">
        <v>5600</v>
      </c>
    </row>
    <row r="16" spans="1:14" x14ac:dyDescent="0.3">
      <c r="A16">
        <v>115</v>
      </c>
      <c r="B16" t="s">
        <v>43</v>
      </c>
      <c r="C16" t="s">
        <v>44</v>
      </c>
      <c r="D16" t="s">
        <v>45</v>
      </c>
      <c r="E16" s="2">
        <v>4200</v>
      </c>
    </row>
    <row r="17" spans="1:11" x14ac:dyDescent="0.3">
      <c r="A17">
        <v>116</v>
      </c>
      <c r="B17" t="s">
        <v>46</v>
      </c>
      <c r="C17" t="s">
        <v>47</v>
      </c>
      <c r="D17" t="s">
        <v>61</v>
      </c>
      <c r="E17" s="2">
        <v>3200</v>
      </c>
      <c r="G17" s="4" t="s">
        <v>75</v>
      </c>
      <c r="H17" s="4"/>
      <c r="I17" s="4"/>
      <c r="J17" s="4"/>
      <c r="K17" s="4"/>
    </row>
    <row r="18" spans="1:11" x14ac:dyDescent="0.3">
      <c r="A18">
        <v>117</v>
      </c>
      <c r="B18" t="s">
        <v>48</v>
      </c>
      <c r="C18" t="s">
        <v>49</v>
      </c>
      <c r="D18" t="s">
        <v>50</v>
      </c>
      <c r="E18" s="2">
        <v>9000</v>
      </c>
    </row>
    <row r="19" spans="1:11" x14ac:dyDescent="0.3">
      <c r="A19">
        <v>118</v>
      </c>
      <c r="B19" t="s">
        <v>51</v>
      </c>
      <c r="C19" t="s">
        <v>52</v>
      </c>
      <c r="D19" t="s">
        <v>53</v>
      </c>
      <c r="E19" s="2">
        <v>5300</v>
      </c>
      <c r="G19" s="1" t="s">
        <v>0</v>
      </c>
      <c r="H19" s="1" t="s">
        <v>2</v>
      </c>
      <c r="I19" s="1" t="s">
        <v>3</v>
      </c>
    </row>
    <row r="20" spans="1:11" x14ac:dyDescent="0.3">
      <c r="A20">
        <v>119</v>
      </c>
      <c r="B20" t="s">
        <v>54</v>
      </c>
      <c r="C20" t="s">
        <v>55</v>
      </c>
      <c r="D20" t="s">
        <v>56</v>
      </c>
      <c r="E20" s="2">
        <v>6400</v>
      </c>
      <c r="G20" t="s">
        <v>31</v>
      </c>
      <c r="H20" s="5" t="str" cm="1">
        <f t="array" ref="H20:I20">_xlfn.XLOOKUP(G20,B2:B21,D2:E21)</f>
        <v>HR Coordinator</v>
      </c>
      <c r="I20" s="5">
        <v>6700</v>
      </c>
    </row>
    <row r="21" spans="1:11" x14ac:dyDescent="0.3">
      <c r="A21">
        <v>120</v>
      </c>
      <c r="B21" t="s">
        <v>57</v>
      </c>
      <c r="C21" t="s">
        <v>58</v>
      </c>
      <c r="D21" t="s">
        <v>14</v>
      </c>
      <c r="E21" s="2">
        <v>8000</v>
      </c>
    </row>
    <row r="22" spans="1:11" x14ac:dyDescent="0.3">
      <c r="G22" s="4" t="s">
        <v>76</v>
      </c>
      <c r="H22" s="4"/>
      <c r="I22" s="4"/>
    </row>
    <row r="24" spans="1:11" x14ac:dyDescent="0.3">
      <c r="G24" s="1" t="s">
        <v>59</v>
      </c>
      <c r="H24">
        <v>121</v>
      </c>
    </row>
    <row r="25" spans="1:11" x14ac:dyDescent="0.3">
      <c r="G25" s="1" t="s">
        <v>0</v>
      </c>
      <c r="H25" s="5" t="str">
        <f>_xlfn.XLOOKUP(H24,A2:A21,B2:B21,"Name not found ")</f>
        <v xml:space="preserve">Name not found </v>
      </c>
    </row>
    <row r="28" spans="1:11" x14ac:dyDescent="0.3">
      <c r="G28" s="4" t="s">
        <v>78</v>
      </c>
      <c r="H28" s="4"/>
      <c r="I28" s="4"/>
      <c r="J28" s="4"/>
      <c r="K28" s="4"/>
    </row>
    <row r="30" spans="1:11" x14ac:dyDescent="0.3">
      <c r="G30" s="1" t="s">
        <v>59</v>
      </c>
      <c r="H30">
        <v>101</v>
      </c>
      <c r="I30">
        <v>104</v>
      </c>
    </row>
    <row r="31" spans="1:11" x14ac:dyDescent="0.3">
      <c r="G31" s="1" t="s">
        <v>77</v>
      </c>
      <c r="H31" s="5">
        <f>SUM(_xlfn.XLOOKUP(H30,A2:A21,E2:E21):_xlfn.XLOOKUP(I30,A2:A21,E2:E21))</f>
        <v>20400</v>
      </c>
    </row>
  </sheetData>
  <hyperlinks>
    <hyperlink ref="C15" r:id="rId1" xr:uid="{0D2EC2A0-9000-4A30-9FA9-9011185A8E65}"/>
    <hyperlink ref="H13" r:id="rId2" xr:uid="{28030F19-898A-41E7-8B86-1B603ADC1C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08D4-B3BC-47E9-B625-7B1F21F7B496}">
  <sheetPr codeName="Sheet5"/>
  <dimension ref="A1:M21"/>
  <sheetViews>
    <sheetView workbookViewId="0">
      <selection activeCell="H14" sqref="H14"/>
    </sheetView>
  </sheetViews>
  <sheetFormatPr defaultRowHeight="14.4" x14ac:dyDescent="0.3"/>
  <cols>
    <col min="2" max="2" width="16.88671875" bestFit="1" customWidth="1"/>
    <col min="3" max="3" width="33.44140625" bestFit="1" customWidth="1"/>
    <col min="4" max="4" width="16" bestFit="1" customWidth="1"/>
    <col min="5" max="5" width="10.88671875" bestFit="1" customWidth="1"/>
    <col min="7" max="7" width="12.6640625" customWidth="1"/>
    <col min="8" max="8" width="12.109375" bestFit="1" customWidth="1"/>
    <col min="14" max="14" width="10.88671875" bestFit="1" customWidth="1"/>
  </cols>
  <sheetData>
    <row r="1" spans="1:10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0" x14ac:dyDescent="0.3">
      <c r="A2">
        <v>101</v>
      </c>
      <c r="B2" t="s">
        <v>4</v>
      </c>
      <c r="C2" t="s">
        <v>5</v>
      </c>
      <c r="D2" t="s">
        <v>6</v>
      </c>
      <c r="E2" s="2">
        <v>4000</v>
      </c>
    </row>
    <row r="3" spans="1:10" x14ac:dyDescent="0.3">
      <c r="A3">
        <v>102</v>
      </c>
      <c r="B3" t="s">
        <v>7</v>
      </c>
      <c r="C3" t="s">
        <v>8</v>
      </c>
      <c r="D3" t="s">
        <v>9</v>
      </c>
      <c r="E3" s="2">
        <v>5400</v>
      </c>
    </row>
    <row r="4" spans="1:10" x14ac:dyDescent="0.3">
      <c r="A4">
        <v>103</v>
      </c>
      <c r="B4" t="s">
        <v>10</v>
      </c>
      <c r="C4" t="s">
        <v>11</v>
      </c>
      <c r="D4" t="s">
        <v>9</v>
      </c>
      <c r="E4" s="2">
        <v>3000</v>
      </c>
      <c r="G4" s="4" t="s">
        <v>67</v>
      </c>
      <c r="H4" s="4"/>
      <c r="I4" s="4"/>
    </row>
    <row r="5" spans="1:10" x14ac:dyDescent="0.3">
      <c r="A5">
        <v>104</v>
      </c>
      <c r="B5" t="s">
        <v>12</v>
      </c>
      <c r="C5" t="s">
        <v>13</v>
      </c>
      <c r="D5" t="s">
        <v>14</v>
      </c>
      <c r="E5" s="2">
        <v>8000</v>
      </c>
    </row>
    <row r="6" spans="1:10" x14ac:dyDescent="0.3">
      <c r="A6">
        <v>105</v>
      </c>
      <c r="B6" t="s">
        <v>15</v>
      </c>
      <c r="C6" t="s">
        <v>16</v>
      </c>
      <c r="D6" t="s">
        <v>17</v>
      </c>
      <c r="E6" s="2">
        <v>2000</v>
      </c>
      <c r="G6" s="1" t="s">
        <v>0</v>
      </c>
      <c r="H6" t="s">
        <v>40</v>
      </c>
    </row>
    <row r="7" spans="1:10" x14ac:dyDescent="0.3">
      <c r="A7">
        <v>106</v>
      </c>
      <c r="B7" t="s">
        <v>18</v>
      </c>
      <c r="C7" t="s">
        <v>19</v>
      </c>
      <c r="D7" t="s">
        <v>20</v>
      </c>
      <c r="E7" s="2">
        <v>5000</v>
      </c>
      <c r="G7" s="1" t="s">
        <v>3</v>
      </c>
      <c r="H7" s="5">
        <f>INDEX(A1:E21,MATCH(H6,B1:B21,0),5)</f>
        <v>5600</v>
      </c>
    </row>
    <row r="8" spans="1:10" x14ac:dyDescent="0.3">
      <c r="A8">
        <v>107</v>
      </c>
      <c r="B8" t="s">
        <v>21</v>
      </c>
      <c r="C8" t="s">
        <v>22</v>
      </c>
      <c r="D8" t="s">
        <v>61</v>
      </c>
      <c r="E8" s="2">
        <v>4200</v>
      </c>
    </row>
    <row r="9" spans="1:10" x14ac:dyDescent="0.3">
      <c r="A9">
        <v>108</v>
      </c>
      <c r="B9" t="s">
        <v>23</v>
      </c>
      <c r="C9" t="s">
        <v>24</v>
      </c>
      <c r="D9" t="s">
        <v>60</v>
      </c>
      <c r="E9" s="2">
        <v>6000</v>
      </c>
    </row>
    <row r="10" spans="1:10" x14ac:dyDescent="0.3">
      <c r="A10">
        <v>109</v>
      </c>
      <c r="B10" t="s">
        <v>25</v>
      </c>
      <c r="C10" t="s">
        <v>26</v>
      </c>
      <c r="D10" t="s">
        <v>27</v>
      </c>
      <c r="E10" s="2">
        <v>10000</v>
      </c>
    </row>
    <row r="11" spans="1:10" x14ac:dyDescent="0.3">
      <c r="A11">
        <v>110</v>
      </c>
      <c r="B11" t="s">
        <v>28</v>
      </c>
      <c r="C11" t="s">
        <v>29</v>
      </c>
      <c r="D11" t="s">
        <v>30</v>
      </c>
      <c r="E11" s="2">
        <v>7000</v>
      </c>
      <c r="G11" s="4" t="s">
        <v>68</v>
      </c>
      <c r="H11" s="4"/>
      <c r="I11" s="4"/>
      <c r="J11" s="4"/>
    </row>
    <row r="12" spans="1:10" x14ac:dyDescent="0.3">
      <c r="A12">
        <v>111</v>
      </c>
      <c r="B12" t="s">
        <v>31</v>
      </c>
      <c r="C12" t="s">
        <v>32</v>
      </c>
      <c r="D12" t="s">
        <v>33</v>
      </c>
      <c r="E12" s="2">
        <v>6700</v>
      </c>
    </row>
    <row r="13" spans="1:10" x14ac:dyDescent="0.3">
      <c r="A13">
        <v>112</v>
      </c>
      <c r="B13" t="s">
        <v>34</v>
      </c>
      <c r="C13" t="s">
        <v>35</v>
      </c>
      <c r="D13" t="s">
        <v>36</v>
      </c>
      <c r="E13" s="2">
        <v>12000</v>
      </c>
      <c r="G13" s="1" t="s">
        <v>3</v>
      </c>
      <c r="H13" s="2">
        <v>10000</v>
      </c>
    </row>
    <row r="14" spans="1:10" x14ac:dyDescent="0.3">
      <c r="A14">
        <v>113</v>
      </c>
      <c r="B14" t="s">
        <v>37</v>
      </c>
      <c r="C14" t="s">
        <v>38</v>
      </c>
      <c r="D14" t="s">
        <v>39</v>
      </c>
      <c r="E14" s="2">
        <v>2300</v>
      </c>
      <c r="G14" s="1" t="s">
        <v>59</v>
      </c>
      <c r="H14" s="5">
        <f>INDEX(A1:A21,MATCH(H13,E1:E21,0),MATCH(A1,A1:E1,0))</f>
        <v>109</v>
      </c>
    </row>
    <row r="15" spans="1:10" x14ac:dyDescent="0.3">
      <c r="A15">
        <v>114</v>
      </c>
      <c r="B15" t="s">
        <v>40</v>
      </c>
      <c r="C15" t="s">
        <v>41</v>
      </c>
      <c r="D15" t="s">
        <v>42</v>
      </c>
      <c r="E15" s="2">
        <v>5600</v>
      </c>
    </row>
    <row r="16" spans="1:10" x14ac:dyDescent="0.3">
      <c r="A16">
        <v>115</v>
      </c>
      <c r="B16" t="s">
        <v>43</v>
      </c>
      <c r="C16" t="s">
        <v>44</v>
      </c>
      <c r="D16" t="s">
        <v>45</v>
      </c>
      <c r="E16" s="2">
        <v>4200</v>
      </c>
    </row>
    <row r="17" spans="1:13" x14ac:dyDescent="0.3">
      <c r="A17">
        <v>116</v>
      </c>
      <c r="B17" t="s">
        <v>46</v>
      </c>
      <c r="C17" t="s">
        <v>47</v>
      </c>
      <c r="D17" t="s">
        <v>61</v>
      </c>
      <c r="E17" s="2">
        <v>3200</v>
      </c>
      <c r="G17" s="6" t="s">
        <v>70</v>
      </c>
      <c r="H17" s="6"/>
      <c r="I17" s="6"/>
      <c r="J17" s="6"/>
      <c r="K17" s="6"/>
      <c r="L17" s="6"/>
      <c r="M17" s="6"/>
    </row>
    <row r="18" spans="1:13" x14ac:dyDescent="0.3">
      <c r="A18">
        <v>117</v>
      </c>
      <c r="B18" t="s">
        <v>48</v>
      </c>
      <c r="C18" t="s">
        <v>49</v>
      </c>
      <c r="D18" t="s">
        <v>50</v>
      </c>
      <c r="E18" s="2">
        <v>9000</v>
      </c>
    </row>
    <row r="19" spans="1:13" x14ac:dyDescent="0.3">
      <c r="A19">
        <v>118</v>
      </c>
      <c r="B19" t="s">
        <v>51</v>
      </c>
      <c r="C19" t="s">
        <v>52</v>
      </c>
      <c r="D19" t="s">
        <v>53</v>
      </c>
      <c r="E19" s="2">
        <v>5300</v>
      </c>
      <c r="G19" s="1" t="s">
        <v>0</v>
      </c>
      <c r="H19" t="s">
        <v>69</v>
      </c>
    </row>
    <row r="20" spans="1:13" x14ac:dyDescent="0.3">
      <c r="A20">
        <v>119</v>
      </c>
      <c r="B20" t="s">
        <v>54</v>
      </c>
      <c r="C20" t="s">
        <v>55</v>
      </c>
      <c r="D20" t="s">
        <v>56</v>
      </c>
      <c r="E20" s="2">
        <v>6400</v>
      </c>
      <c r="G20" s="1" t="s">
        <v>1</v>
      </c>
      <c r="H20" s="5" t="str">
        <f>IFERROR(VLOOKUP(H19,B1:C21,2,0),"Not Found")</f>
        <v>Not Found</v>
      </c>
    </row>
    <row r="21" spans="1:13" x14ac:dyDescent="0.3">
      <c r="A21">
        <v>120</v>
      </c>
      <c r="B21" t="s">
        <v>57</v>
      </c>
      <c r="C21" t="s">
        <v>58</v>
      </c>
      <c r="D21" t="s">
        <v>14</v>
      </c>
      <c r="E21" s="2">
        <v>8000</v>
      </c>
    </row>
  </sheetData>
  <sortState xmlns:xlrd2="http://schemas.microsoft.com/office/spreadsheetml/2017/richdata2" ref="A2:L141">
    <sortCondition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Jeevan Raj</cp:lastModifiedBy>
  <dcterms:created xsi:type="dcterms:W3CDTF">2020-07-11T19:38:02Z</dcterms:created>
  <dcterms:modified xsi:type="dcterms:W3CDTF">2023-08-07T15:19:28Z</dcterms:modified>
</cp:coreProperties>
</file>