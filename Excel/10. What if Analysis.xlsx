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91914\Documents\Imarticsu Learning\IMARTICUS LEARNING STUDY MATERIALS\1. Excel\Excel PGA\1. Data Analytics with Excel\Data Analysis with Excel\Excel From Scartch\"/>
    </mc:Choice>
  </mc:AlternateContent>
  <xr:revisionPtr revIDLastSave="0" documentId="13_ncr:1_{3CE47BFF-ECB8-4F7E-BECF-74EB8DFC1658}" xr6:coauthVersionLast="47" xr6:coauthVersionMax="47" xr10:uidLastSave="{00000000-0000-0000-0000-000000000000}"/>
  <bookViews>
    <workbookView xWindow="-108" yWindow="-108" windowWidth="23256" windowHeight="12456" activeTab="1" xr2:uid="{00000000-000D-0000-FFFF-FFFF00000000}"/>
  </bookViews>
  <sheets>
    <sheet name="Goal Seek 1" sheetId="1" r:id="rId1"/>
    <sheet name="Goal Seek 2" sheetId="2" r:id="rId2"/>
    <sheet name="Data Table" sheetId="3" r:id="rId3"/>
    <sheet name="Data Table Solu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4" l="1"/>
  <c r="M9" i="4" s="1"/>
  <c r="D62" i="2"/>
  <c r="D49" i="2"/>
  <c r="D24" i="2"/>
  <c r="H24" i="1"/>
  <c r="H15" i="1"/>
  <c r="H10" i="1"/>
</calcChain>
</file>

<file path=xl/sharedStrings.xml><?xml version="1.0" encoding="utf-8"?>
<sst xmlns="http://schemas.openxmlformats.org/spreadsheetml/2006/main" count="89" uniqueCount="54">
  <si>
    <t>What if Analysis</t>
  </si>
  <si>
    <t>Problem Statement :-</t>
  </si>
  <si>
    <t xml:space="preserve">1. A sales person want to make 450rs per day income by selling the product, kindly find how many pens he needs to sell per day </t>
  </si>
  <si>
    <t>No of Pens</t>
  </si>
  <si>
    <t>Selling Price</t>
  </si>
  <si>
    <t>Commision</t>
  </si>
  <si>
    <t>Income</t>
  </si>
  <si>
    <t>Solution:-</t>
  </si>
  <si>
    <t xml:space="preserve">Conclusion :- </t>
  </si>
  <si>
    <t>If the Sales Person want to make 450rs has its dialy income then he needs to sell 15 pens per day</t>
  </si>
  <si>
    <t>2. A Sales Person want to make 450rs per day income by selling the product, kindly find how much should be the selling price of each pen use the same data that has been used to above question</t>
  </si>
  <si>
    <t xml:space="preserve">If the Sales Person wants to make 450rs has its dialy income then he need to make 42rs per pen </t>
  </si>
  <si>
    <t>What if Analysis is mainly used for Financial function of Excel</t>
  </si>
  <si>
    <t>1. Calculate The EMI for the Given Details</t>
  </si>
  <si>
    <t>Note :-</t>
  </si>
  <si>
    <t>PMT Stands for {Per Month Transaction}</t>
  </si>
  <si>
    <t>Simple intrest example</t>
  </si>
  <si>
    <t xml:space="preserve">Loan Amount </t>
  </si>
  <si>
    <t>Rate of Intrest</t>
  </si>
  <si>
    <t>Payment / month</t>
  </si>
  <si>
    <t>PMT [EMI]</t>
  </si>
  <si>
    <t>Using Data Table</t>
  </si>
  <si>
    <t>Solution</t>
  </si>
  <si>
    <t xml:space="preserve">Note </t>
  </si>
  <si>
    <t>Formula = PMT(rate of intrest per month), nper (No of Transaction per month),Principal Value(pv)</t>
  </si>
  <si>
    <t>Procedure Needs to follow to use goal seek</t>
  </si>
  <si>
    <t xml:space="preserve">Case 2 :- </t>
  </si>
  <si>
    <t>If I pay $ 5000 every month, what Is the duration that the loan amount will get over</t>
  </si>
  <si>
    <t>1. Copy paste the above PMT information</t>
  </si>
  <si>
    <t>2. keep your cursor on PMT calculated cell</t>
  </si>
  <si>
    <t>3. Go to data bar and select what-if Analysis in data ribbon</t>
  </si>
  <si>
    <t>4. Select Goal Seek</t>
  </si>
  <si>
    <t>5. New Goal Seek window will open and set cell (PMT cell)</t>
  </si>
  <si>
    <t>6. To Value = Amount your are paying ever month(EMI)</t>
  </si>
  <si>
    <t>7. By changing cell = duration that you want to calculate (month)</t>
  </si>
  <si>
    <t>8.. Finaly click on ok if you are satisfied with the calculation</t>
  </si>
  <si>
    <t>Case 3:-</t>
  </si>
  <si>
    <t>If I pay different amount for different duration what the Eligible loan amount</t>
  </si>
  <si>
    <t>Data Table</t>
  </si>
  <si>
    <t>Perform sensitivity analysis by using data tables to see how changes in certain variables affect overall team performance.</t>
  </si>
  <si>
    <t>Retirement Fund</t>
  </si>
  <si>
    <t>Monthly Payment (end of period)</t>
  </si>
  <si>
    <t>Years</t>
  </si>
  <si>
    <t>Returns p.a.</t>
  </si>
  <si>
    <t>Calculate for Different Interest Rate along with the different years</t>
  </si>
  <si>
    <t>Your Future Fund Amound (FV)</t>
  </si>
  <si>
    <t>Future Value</t>
  </si>
  <si>
    <t>FV(Rate, nper,pmt,[pv],[type])</t>
  </si>
  <si>
    <t>Syntax</t>
  </si>
  <si>
    <t>Rate of Interest</t>
  </si>
  <si>
    <t>No of period</t>
  </si>
  <si>
    <t>Payment</t>
  </si>
  <si>
    <t>Interest Rate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</si>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</sst>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3" x14ac:knownFonts="1">
    <font>
      <sz val="11"/>
      <color theme="1"/>
      <name val="Calibri"/>
      <family val="2"/>
      <scheme val="minor"/>
    </font>
    <font>
      <b/>
      <sz val="11"/>
      <color theme="1"/>
      <name val="Calibri"/>
      <family val="2"/>
      <scheme val="minor"/>
    </font>
    <font>
      <b/>
      <sz val="18"/>
      <color theme="1"/>
      <name val="Times New Roman"/>
      <family val="1"/>
    </font>
    <font>
      <b/>
      <sz val="14"/>
      <color theme="1"/>
      <name val="Times New Roman"/>
      <family val="1"/>
    </font>
    <font>
      <b/>
      <sz val="11"/>
      <color theme="1"/>
      <name val="Times New Roman"/>
      <family val="1"/>
    </font>
    <font>
      <b/>
      <sz val="16"/>
      <color theme="1"/>
      <name val="Calibri"/>
      <family val="2"/>
      <scheme val="minor"/>
    </font>
    <font>
      <sz val="12"/>
      <color theme="1"/>
      <name val="Calibri"/>
      <family val="2"/>
      <scheme val="minor"/>
    </font>
    <font>
      <b/>
      <sz val="12"/>
      <color theme="0"/>
      <name val="Calibri"/>
      <family val="2"/>
      <scheme val="minor"/>
    </font>
    <font>
      <b/>
      <sz val="16"/>
      <color theme="1"/>
      <name val="Times New Roman"/>
      <family val="1"/>
    </font>
    <font>
      <b/>
      <sz val="22"/>
      <color theme="1"/>
      <name val="Times New Roman"/>
      <family val="1"/>
    </font>
    <font>
      <sz val="14"/>
      <name val="Times New Roman"/>
      <family val="1"/>
    </font>
    <font>
      <sz val="13"/>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bgColor indexed="64"/>
      </patternFill>
    </fill>
    <fill>
      <patternFill patternType="solid">
        <fgColor theme="1"/>
        <bgColor indexed="64"/>
      </patternFill>
    </fill>
    <fill>
      <patternFill patternType="solid">
        <fgColor theme="4" tint="0.79998168889431442"/>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3" fillId="0" borderId="0" xfId="0" applyFont="1"/>
    <xf numFmtId="0" fontId="4" fillId="0" borderId="0" xfId="0" applyFont="1"/>
    <xf numFmtId="0" fontId="1" fillId="0" borderId="0" xfId="0" applyFont="1"/>
    <xf numFmtId="1" fontId="1" fillId="3" borderId="0" xfId="0" applyNumberFormat="1" applyFont="1" applyFill="1"/>
    <xf numFmtId="0" fontId="1" fillId="3" borderId="0" xfId="0" applyFont="1" applyFill="1"/>
    <xf numFmtId="0" fontId="1" fillId="4" borderId="0" xfId="0" applyFont="1" applyFill="1"/>
    <xf numFmtId="0" fontId="0" fillId="6" borderId="9" xfId="0" applyFill="1" applyBorder="1"/>
    <xf numFmtId="0" fontId="0" fillId="7" borderId="9" xfId="0" applyFill="1" applyBorder="1"/>
    <xf numFmtId="10" fontId="0" fillId="7" borderId="9" xfId="0" applyNumberFormat="1" applyFill="1" applyBorder="1"/>
    <xf numFmtId="0" fontId="0" fillId="7" borderId="10" xfId="0" applyFill="1" applyBorder="1"/>
    <xf numFmtId="0" fontId="0" fillId="8" borderId="9" xfId="0" applyFill="1" applyBorder="1"/>
    <xf numFmtId="0" fontId="1" fillId="2" borderId="0" xfId="0" applyFont="1" applyFill="1"/>
    <xf numFmtId="8" fontId="0" fillId="7" borderId="9" xfId="0" applyNumberFormat="1" applyFill="1" applyBorder="1"/>
    <xf numFmtId="0" fontId="10" fillId="0" borderId="0" xfId="0" applyFont="1"/>
    <xf numFmtId="0" fontId="8" fillId="0" borderId="0" xfId="0" applyFont="1"/>
    <xf numFmtId="0" fontId="11"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7" fillId="9" borderId="0" xfId="0" applyFont="1" applyFill="1" applyAlignment="1">
      <alignment horizontal="center"/>
    </xf>
    <xf numFmtId="0" fontId="0" fillId="6" borderId="11" xfId="0" applyFill="1" applyBorder="1" applyAlignment="1">
      <alignment horizontal="center" textRotation="45"/>
    </xf>
    <xf numFmtId="0" fontId="0" fillId="6" borderId="12" xfId="0" applyFill="1" applyBorder="1" applyAlignment="1">
      <alignment horizontal="center" textRotation="45"/>
    </xf>
    <xf numFmtId="0" fontId="0" fillId="6" borderId="13" xfId="0" applyFill="1" applyBorder="1" applyAlignment="1">
      <alignment horizontal="center" textRotation="45"/>
    </xf>
    <xf numFmtId="0" fontId="5" fillId="5" borderId="0" xfId="0" applyFont="1" applyFill="1" applyAlignment="1">
      <alignment horizontal="center"/>
    </xf>
    <xf numFmtId="0" fontId="6" fillId="0" borderId="0" xfId="0" applyFont="1" applyAlignment="1">
      <alignment horizontal="center"/>
    </xf>
    <xf numFmtId="0" fontId="0" fillId="0" borderId="0" xfId="0" applyAlignment="1">
      <alignment horizontal="center"/>
    </xf>
    <xf numFmtId="0" fontId="9" fillId="10" borderId="0" xfId="0" applyFont="1" applyFill="1" applyAlignment="1">
      <alignment horizontal="center"/>
    </xf>
    <xf numFmtId="9" fontId="0" fillId="0" borderId="0" xfId="0" applyNumberFormat="1"/>
    <xf numFmtId="8" fontId="0" fillId="0" borderId="0" xfId="0" applyNumberFormat="1"/>
    <xf numFmtId="0" fontId="0" fillId="11" borderId="0" xfId="0" applyFill="1"/>
    <xf numFmtId="0" fontId="12" fillId="0" borderId="0" xfId="0" applyFont="1"/>
    <xf numFmtId="9" fontId="1" fillId="0" borderId="0" xfId="0" applyNumberFormat="1" applyFont="1"/>
    <xf numFmtId="10" fontId="1" fillId="0" borderId="0" xfId="0" applyNumberFormat="1" applyFont="1"/>
    <xf numFmtId="8" fontId="1" fillId="1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11546</xdr:colOff>
      <xdr:row>12</xdr:row>
      <xdr:rowOff>70437</xdr:rowOff>
    </xdr:from>
    <xdr:to>
      <xdr:col>12</xdr:col>
      <xdr:colOff>352183</xdr:colOff>
      <xdr:row>20</xdr:row>
      <xdr:rowOff>92364</xdr:rowOff>
    </xdr:to>
    <xdr:sp macro="" textlink="">
      <xdr:nvSpPr>
        <xdr:cNvPr id="2" name="Cloud 1">
          <a:extLst>
            <a:ext uri="{FF2B5EF4-FFF2-40B4-BE49-F238E27FC236}">
              <a16:creationId xmlns:a16="http://schemas.microsoft.com/office/drawing/2014/main" id="{0E2E44A1-3864-46CC-8015-6766735C36F9}"/>
            </a:ext>
          </a:extLst>
        </xdr:cNvPr>
        <xdr:cNvSpPr/>
      </xdr:nvSpPr>
      <xdr:spPr>
        <a:xfrm>
          <a:off x="5696066" y="2364057"/>
          <a:ext cx="2779037" cy="1484967"/>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Note</a:t>
          </a:r>
          <a:r>
            <a:rPr lang="en-US" sz="1100" baseline="0"/>
            <a:t>:- </a:t>
          </a:r>
        </a:p>
        <a:p>
          <a:pPr algn="l"/>
          <a:r>
            <a:rPr lang="en-US" sz="1100" baseline="0"/>
            <a:t>    It is showing in red color and bracket (it means, out flow of cash) money is going out from your pocket</a:t>
          </a:r>
        </a:p>
      </xdr:txBody>
    </xdr:sp>
    <xdr:clientData/>
  </xdr:twoCellAnchor>
  <xdr:twoCellAnchor>
    <xdr:from>
      <xdr:col>3</xdr:col>
      <xdr:colOff>928488</xdr:colOff>
      <xdr:row>17</xdr:row>
      <xdr:rowOff>83244</xdr:rowOff>
    </xdr:from>
    <xdr:to>
      <xdr:col>8</xdr:col>
      <xdr:colOff>57630</xdr:colOff>
      <xdr:row>23</xdr:row>
      <xdr:rowOff>38420</xdr:rowOff>
    </xdr:to>
    <xdr:cxnSp macro="">
      <xdr:nvCxnSpPr>
        <xdr:cNvPr id="3" name="Straight Arrow Connector 2">
          <a:extLst>
            <a:ext uri="{FF2B5EF4-FFF2-40B4-BE49-F238E27FC236}">
              <a16:creationId xmlns:a16="http://schemas.microsoft.com/office/drawing/2014/main" id="{FF118009-F92B-4BE9-B67C-E9693E75FEE8}"/>
            </a:ext>
          </a:extLst>
        </xdr:cNvPr>
        <xdr:cNvCxnSpPr/>
      </xdr:nvCxnSpPr>
      <xdr:spPr>
        <a:xfrm flipH="1">
          <a:off x="3199248" y="3291264"/>
          <a:ext cx="2542902" cy="1052456"/>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0</xdr:colOff>
      <xdr:row>33</xdr:row>
      <xdr:rowOff>0</xdr:rowOff>
    </xdr:from>
    <xdr:to>
      <xdr:col>6</xdr:col>
      <xdr:colOff>179295</xdr:colOff>
      <xdr:row>41</xdr:row>
      <xdr:rowOff>25613</xdr:rowOff>
    </xdr:to>
    <xdr:sp macro="" textlink="">
      <xdr:nvSpPr>
        <xdr:cNvPr id="4" name="Cloud 3">
          <a:extLst>
            <a:ext uri="{FF2B5EF4-FFF2-40B4-BE49-F238E27FC236}">
              <a16:creationId xmlns:a16="http://schemas.microsoft.com/office/drawing/2014/main" id="{140EB3AA-32E0-4251-AA2C-46FD513D54A3}"/>
            </a:ext>
          </a:extLst>
        </xdr:cNvPr>
        <xdr:cNvSpPr/>
      </xdr:nvSpPr>
      <xdr:spPr>
        <a:xfrm>
          <a:off x="2270760" y="6134100"/>
          <a:ext cx="2373855" cy="1488653"/>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Note</a:t>
          </a:r>
          <a:r>
            <a:rPr lang="en-US" sz="1100" baseline="0"/>
            <a:t>:- </a:t>
          </a:r>
        </a:p>
        <a:p>
          <a:pPr algn="l"/>
          <a:r>
            <a:rPr lang="en-US" sz="1100" baseline="0"/>
            <a:t>    This information is telling you that you need to pay 3250.24 per month</a:t>
          </a:r>
        </a:p>
      </xdr:txBody>
    </xdr:sp>
    <xdr:clientData/>
  </xdr:twoCellAnchor>
  <xdr:twoCellAnchor>
    <xdr:from>
      <xdr:col>3</xdr:col>
      <xdr:colOff>409815</xdr:colOff>
      <xdr:row>24</xdr:row>
      <xdr:rowOff>51229</xdr:rowOff>
    </xdr:from>
    <xdr:to>
      <xdr:col>3</xdr:col>
      <xdr:colOff>448235</xdr:colOff>
      <xdr:row>33</xdr:row>
      <xdr:rowOff>89647</xdr:rowOff>
    </xdr:to>
    <xdr:cxnSp macro="">
      <xdr:nvCxnSpPr>
        <xdr:cNvPr id="5" name="Straight Arrow Connector 4">
          <a:extLst>
            <a:ext uri="{FF2B5EF4-FFF2-40B4-BE49-F238E27FC236}">
              <a16:creationId xmlns:a16="http://schemas.microsoft.com/office/drawing/2014/main" id="{F3A46BF5-C0DC-4416-B899-565087BE1103}"/>
            </a:ext>
          </a:extLst>
        </xdr:cNvPr>
        <xdr:cNvCxnSpPr/>
      </xdr:nvCxnSpPr>
      <xdr:spPr>
        <a:xfrm flipH="1" flipV="1">
          <a:off x="2680575" y="4539409"/>
          <a:ext cx="38420" cy="1684338"/>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editAs="oneCell">
    <xdr:from>
      <xdr:col>19</xdr:col>
      <xdr:colOff>435428</xdr:colOff>
      <xdr:row>39</xdr:row>
      <xdr:rowOff>155510</xdr:rowOff>
    </xdr:from>
    <xdr:to>
      <xdr:col>25</xdr:col>
      <xdr:colOff>228954</xdr:colOff>
      <xdr:row>51</xdr:row>
      <xdr:rowOff>72810</xdr:rowOff>
    </xdr:to>
    <xdr:pic>
      <xdr:nvPicPr>
        <xdr:cNvPr id="6" name="Picture 5">
          <a:extLst>
            <a:ext uri="{FF2B5EF4-FFF2-40B4-BE49-F238E27FC236}">
              <a16:creationId xmlns:a16="http://schemas.microsoft.com/office/drawing/2014/main" id="{2B65E235-1516-45CF-9E05-97A218497B16}"/>
            </a:ext>
          </a:extLst>
        </xdr:cNvPr>
        <xdr:cNvPicPr>
          <a:picLocks noChangeAspect="1"/>
        </xdr:cNvPicPr>
      </xdr:nvPicPr>
      <xdr:blipFill>
        <a:blip xmlns:r="http://schemas.openxmlformats.org/officeDocument/2006/relationships" r:embed="rId1"/>
        <a:stretch>
          <a:fillRect/>
        </a:stretch>
      </xdr:blipFill>
      <xdr:spPr>
        <a:xfrm>
          <a:off x="12825548" y="7386890"/>
          <a:ext cx="4114066" cy="2111860"/>
        </a:xfrm>
        <a:prstGeom prst="rect">
          <a:avLst/>
        </a:prstGeom>
      </xdr:spPr>
    </xdr:pic>
    <xdr:clientData/>
  </xdr:twoCellAnchor>
  <xdr:twoCellAnchor>
    <xdr:from>
      <xdr:col>15</xdr:col>
      <xdr:colOff>77755</xdr:colOff>
      <xdr:row>47</xdr:row>
      <xdr:rowOff>7775</xdr:rowOff>
    </xdr:from>
    <xdr:to>
      <xdr:col>21</xdr:col>
      <xdr:colOff>427653</xdr:colOff>
      <xdr:row>47</xdr:row>
      <xdr:rowOff>62204</xdr:rowOff>
    </xdr:to>
    <xdr:cxnSp macro="">
      <xdr:nvCxnSpPr>
        <xdr:cNvPr id="7" name="Straight Arrow Connector 6">
          <a:extLst>
            <a:ext uri="{FF2B5EF4-FFF2-40B4-BE49-F238E27FC236}">
              <a16:creationId xmlns:a16="http://schemas.microsoft.com/office/drawing/2014/main" id="{438E9F33-81A8-47EA-BF09-EE9F8649988A}"/>
            </a:ext>
          </a:extLst>
        </xdr:cNvPr>
        <xdr:cNvCxnSpPr/>
      </xdr:nvCxnSpPr>
      <xdr:spPr>
        <a:xfrm flipV="1">
          <a:off x="10029475" y="8702195"/>
          <a:ext cx="4007498" cy="54429"/>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editAs="oneCell">
    <xdr:from>
      <xdr:col>19</xdr:col>
      <xdr:colOff>132184</xdr:colOff>
      <xdr:row>51</xdr:row>
      <xdr:rowOff>108857</xdr:rowOff>
    </xdr:from>
    <xdr:to>
      <xdr:col>28</xdr:col>
      <xdr:colOff>476266</xdr:colOff>
      <xdr:row>63</xdr:row>
      <xdr:rowOff>26157</xdr:rowOff>
    </xdr:to>
    <xdr:pic>
      <xdr:nvPicPr>
        <xdr:cNvPr id="8" name="Picture 7">
          <a:extLst>
            <a:ext uri="{FF2B5EF4-FFF2-40B4-BE49-F238E27FC236}">
              <a16:creationId xmlns:a16="http://schemas.microsoft.com/office/drawing/2014/main" id="{D2004FF6-F61B-487E-9D34-4746DEAEECAA}"/>
            </a:ext>
          </a:extLst>
        </xdr:cNvPr>
        <xdr:cNvPicPr>
          <a:picLocks noChangeAspect="1"/>
        </xdr:cNvPicPr>
      </xdr:nvPicPr>
      <xdr:blipFill>
        <a:blip xmlns:r="http://schemas.openxmlformats.org/officeDocument/2006/relationships" r:embed="rId2"/>
        <a:stretch>
          <a:fillRect/>
        </a:stretch>
      </xdr:blipFill>
      <xdr:spPr>
        <a:xfrm>
          <a:off x="12522304" y="9534797"/>
          <a:ext cx="6493422" cy="2111860"/>
        </a:xfrm>
        <a:prstGeom prst="rect">
          <a:avLst/>
        </a:prstGeom>
      </xdr:spPr>
    </xdr:pic>
    <xdr:clientData/>
  </xdr:twoCellAnchor>
  <xdr:twoCellAnchor>
    <xdr:from>
      <xdr:col>9</xdr:col>
      <xdr:colOff>317992</xdr:colOff>
      <xdr:row>57</xdr:row>
      <xdr:rowOff>12807</xdr:rowOff>
    </xdr:from>
    <xdr:to>
      <xdr:col>14</xdr:col>
      <xdr:colOff>52140</xdr:colOff>
      <xdr:row>65</xdr:row>
      <xdr:rowOff>34734</xdr:rowOff>
    </xdr:to>
    <xdr:sp macro="" textlink="">
      <xdr:nvSpPr>
        <xdr:cNvPr id="9" name="Cloud 8">
          <a:extLst>
            <a:ext uri="{FF2B5EF4-FFF2-40B4-BE49-F238E27FC236}">
              <a16:creationId xmlns:a16="http://schemas.microsoft.com/office/drawing/2014/main" id="{2D289E9C-C596-44BD-B9EB-2CB54CAD2259}"/>
            </a:ext>
          </a:extLst>
        </xdr:cNvPr>
        <xdr:cNvSpPr/>
      </xdr:nvSpPr>
      <xdr:spPr>
        <a:xfrm>
          <a:off x="6612112" y="10536027"/>
          <a:ext cx="2782148" cy="1484967"/>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Note</a:t>
          </a:r>
          <a:r>
            <a:rPr lang="en-US" sz="1100" baseline="0"/>
            <a:t>:- </a:t>
          </a:r>
        </a:p>
        <a:p>
          <a:pPr algn="l"/>
          <a:r>
            <a:rPr lang="en-US" sz="1100" baseline="0"/>
            <a:t>    If the Person is has taken 100000 loan amount for 12 month of duration, He must pay 8814.86 per month with 10.50% of intrest rate</a:t>
          </a:r>
        </a:p>
      </xdr:txBody>
    </xdr:sp>
    <xdr:clientData/>
  </xdr:twoCellAnchor>
  <xdr:twoCellAnchor>
    <xdr:from>
      <xdr:col>4</xdr:col>
      <xdr:colOff>582707</xdr:colOff>
      <xdr:row>61</xdr:row>
      <xdr:rowOff>23771</xdr:rowOff>
    </xdr:from>
    <xdr:to>
      <xdr:col>9</xdr:col>
      <xdr:colOff>326574</xdr:colOff>
      <xdr:row>62</xdr:row>
      <xdr:rowOff>61747</xdr:rowOff>
    </xdr:to>
    <xdr:cxnSp macro="">
      <xdr:nvCxnSpPr>
        <xdr:cNvPr id="10" name="Straight Arrow Connector 9">
          <a:extLst>
            <a:ext uri="{FF2B5EF4-FFF2-40B4-BE49-F238E27FC236}">
              <a16:creationId xmlns:a16="http://schemas.microsoft.com/office/drawing/2014/main" id="{32F08C2F-F61C-4254-BBF1-5971B1954947}"/>
            </a:ext>
          </a:extLst>
        </xdr:cNvPr>
        <xdr:cNvCxnSpPr>
          <a:stCxn id="9" idx="2"/>
        </xdr:cNvCxnSpPr>
      </xdr:nvCxnSpPr>
      <xdr:spPr>
        <a:xfrm flipH="1">
          <a:off x="3828827" y="11278511"/>
          <a:ext cx="2791867" cy="220856"/>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202164</xdr:colOff>
      <xdr:row>61</xdr:row>
      <xdr:rowOff>15551</xdr:rowOff>
    </xdr:from>
    <xdr:to>
      <xdr:col>4</xdr:col>
      <xdr:colOff>77755</xdr:colOff>
      <xdr:row>62</xdr:row>
      <xdr:rowOff>31102</xdr:rowOff>
    </xdr:to>
    <xdr:sp macro="" textlink="">
      <xdr:nvSpPr>
        <xdr:cNvPr id="11" name="Oval 10">
          <a:extLst>
            <a:ext uri="{FF2B5EF4-FFF2-40B4-BE49-F238E27FC236}">
              <a16:creationId xmlns:a16="http://schemas.microsoft.com/office/drawing/2014/main" id="{B859226A-8C71-4065-9652-D6C8748A458A}"/>
            </a:ext>
          </a:extLst>
        </xdr:cNvPr>
        <xdr:cNvSpPr/>
      </xdr:nvSpPr>
      <xdr:spPr>
        <a:xfrm>
          <a:off x="2472924" y="11270291"/>
          <a:ext cx="850951" cy="198431"/>
        </a:xfrm>
        <a:prstGeom prst="ellipse">
          <a:avLst/>
        </a:prstGeom>
        <a:noFill/>
        <a:ln w="19050" cap="flat" cmpd="sng" algn="ctr">
          <a:solidFill>
            <a:schemeClr val="accent1">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3</xdr:col>
      <xdr:colOff>968829</xdr:colOff>
      <xdr:row>64</xdr:row>
      <xdr:rowOff>7775</xdr:rowOff>
    </xdr:from>
    <xdr:to>
      <xdr:col>5</xdr:col>
      <xdr:colOff>31102</xdr:colOff>
      <xdr:row>65</xdr:row>
      <xdr:rowOff>15550</xdr:rowOff>
    </xdr:to>
    <xdr:sp macro="" textlink="">
      <xdr:nvSpPr>
        <xdr:cNvPr id="12" name="Oval 11">
          <a:extLst>
            <a:ext uri="{FF2B5EF4-FFF2-40B4-BE49-F238E27FC236}">
              <a16:creationId xmlns:a16="http://schemas.microsoft.com/office/drawing/2014/main" id="{6F53F5EA-2E62-4F13-9A4F-21C522A547E4}"/>
            </a:ext>
          </a:extLst>
        </xdr:cNvPr>
        <xdr:cNvSpPr/>
      </xdr:nvSpPr>
      <xdr:spPr>
        <a:xfrm>
          <a:off x="3239589" y="11811155"/>
          <a:ext cx="647233" cy="190655"/>
        </a:xfrm>
        <a:prstGeom prst="ellipse">
          <a:avLst/>
        </a:prstGeom>
        <a:noFill/>
        <a:ln w="19050" cap="flat" cmpd="sng" algn="ctr">
          <a:solidFill>
            <a:schemeClr val="accent1">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15</xdr:row>
      <xdr:rowOff>7620</xdr:rowOff>
    </xdr:from>
    <xdr:to>
      <xdr:col>3</xdr:col>
      <xdr:colOff>160020</xdr:colOff>
      <xdr:row>17</xdr:row>
      <xdr:rowOff>137160</xdr:rowOff>
    </xdr:to>
    <xdr:cxnSp macro="">
      <xdr:nvCxnSpPr>
        <xdr:cNvPr id="3" name="Straight Arrow Connector 2">
          <a:extLst>
            <a:ext uri="{FF2B5EF4-FFF2-40B4-BE49-F238E27FC236}">
              <a16:creationId xmlns:a16="http://schemas.microsoft.com/office/drawing/2014/main" id="{80F09ABB-785A-421F-BB40-FD81831B538E}"/>
            </a:ext>
          </a:extLst>
        </xdr:cNvPr>
        <xdr:cNvCxnSpPr/>
      </xdr:nvCxnSpPr>
      <xdr:spPr>
        <a:xfrm flipV="1">
          <a:off x="1714500" y="3101340"/>
          <a:ext cx="274320" cy="495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388620</xdr:colOff>
      <xdr:row>19</xdr:row>
      <xdr:rowOff>15240</xdr:rowOff>
    </xdr:from>
    <xdr:to>
      <xdr:col>5</xdr:col>
      <xdr:colOff>53340</xdr:colOff>
      <xdr:row>21</xdr:row>
      <xdr:rowOff>144780</xdr:rowOff>
    </xdr:to>
    <xdr:cxnSp macro="">
      <xdr:nvCxnSpPr>
        <xdr:cNvPr id="4" name="Straight Arrow Connector 3">
          <a:extLst>
            <a:ext uri="{FF2B5EF4-FFF2-40B4-BE49-F238E27FC236}">
              <a16:creationId xmlns:a16="http://schemas.microsoft.com/office/drawing/2014/main" id="{19CED35B-AA0A-4C0D-84C0-7B93E367241A}"/>
            </a:ext>
          </a:extLst>
        </xdr:cNvPr>
        <xdr:cNvCxnSpPr/>
      </xdr:nvCxnSpPr>
      <xdr:spPr>
        <a:xfrm flipV="1">
          <a:off x="2827020" y="3840480"/>
          <a:ext cx="274320" cy="495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403860</xdr:colOff>
      <xdr:row>19</xdr:row>
      <xdr:rowOff>0</xdr:rowOff>
    </xdr:from>
    <xdr:to>
      <xdr:col>5</xdr:col>
      <xdr:colOff>419100</xdr:colOff>
      <xdr:row>20</xdr:row>
      <xdr:rowOff>152400</xdr:rowOff>
    </xdr:to>
    <xdr:cxnSp macro="">
      <xdr:nvCxnSpPr>
        <xdr:cNvPr id="5" name="Straight Arrow Connector 4">
          <a:extLst>
            <a:ext uri="{FF2B5EF4-FFF2-40B4-BE49-F238E27FC236}">
              <a16:creationId xmlns:a16="http://schemas.microsoft.com/office/drawing/2014/main" id="{15C2F9EA-F00F-4E74-ADEE-DFD7E9484659}"/>
            </a:ext>
          </a:extLst>
        </xdr:cNvPr>
        <xdr:cNvCxnSpPr/>
      </xdr:nvCxnSpPr>
      <xdr:spPr>
        <a:xfrm flipH="1" flipV="1">
          <a:off x="3451860" y="3825240"/>
          <a:ext cx="15240" cy="3352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754380</xdr:colOff>
      <xdr:row>18</xdr:row>
      <xdr:rowOff>167640</xdr:rowOff>
    </xdr:from>
    <xdr:to>
      <xdr:col>7</xdr:col>
      <xdr:colOff>15240</xdr:colOff>
      <xdr:row>21</xdr:row>
      <xdr:rowOff>0</xdr:rowOff>
    </xdr:to>
    <xdr:cxnSp macro="">
      <xdr:nvCxnSpPr>
        <xdr:cNvPr id="7" name="Straight Arrow Connector 6">
          <a:extLst>
            <a:ext uri="{FF2B5EF4-FFF2-40B4-BE49-F238E27FC236}">
              <a16:creationId xmlns:a16="http://schemas.microsoft.com/office/drawing/2014/main" id="{1C27FA5D-8C9B-4EA6-9004-7FF4A2855321}"/>
            </a:ext>
          </a:extLst>
        </xdr:cNvPr>
        <xdr:cNvCxnSpPr/>
      </xdr:nvCxnSpPr>
      <xdr:spPr>
        <a:xfrm flipH="1" flipV="1">
          <a:off x="3802380" y="3810000"/>
          <a:ext cx="662940"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320040</xdr:colOff>
      <xdr:row>19</xdr:row>
      <xdr:rowOff>0</xdr:rowOff>
    </xdr:from>
    <xdr:to>
      <xdr:col>7</xdr:col>
      <xdr:colOff>220980</xdr:colOff>
      <xdr:row>19</xdr:row>
      <xdr:rowOff>175260</xdr:rowOff>
    </xdr:to>
    <xdr:cxnSp macro="">
      <xdr:nvCxnSpPr>
        <xdr:cNvPr id="10" name="Straight Arrow Connector 9">
          <a:extLst>
            <a:ext uri="{FF2B5EF4-FFF2-40B4-BE49-F238E27FC236}">
              <a16:creationId xmlns:a16="http://schemas.microsoft.com/office/drawing/2014/main" id="{8C01C09D-282B-4A4F-A6CE-34D1223A97F8}"/>
            </a:ext>
          </a:extLst>
        </xdr:cNvPr>
        <xdr:cNvCxnSpPr/>
      </xdr:nvCxnSpPr>
      <xdr:spPr>
        <a:xfrm flipH="1" flipV="1">
          <a:off x="4160520" y="3825240"/>
          <a:ext cx="510540" cy="175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R26"/>
  <sheetViews>
    <sheetView topLeftCell="C5" zoomScale="117" workbookViewId="0">
      <selection activeCell="O18" sqref="O18"/>
    </sheetView>
  </sheetViews>
  <sheetFormatPr defaultRowHeight="14.4" x14ac:dyDescent="0.3"/>
  <cols>
    <col min="4" max="4" width="11.5546875" customWidth="1"/>
    <col min="5" max="5" width="12.5546875" customWidth="1"/>
    <col min="6" max="6" width="11.33203125" customWidth="1"/>
    <col min="7" max="7" width="9.44140625" customWidth="1"/>
    <col min="13" max="13" width="10.109375" bestFit="1" customWidth="1"/>
    <col min="14" max="14" width="11" bestFit="1" customWidth="1"/>
    <col min="15" max="15" width="10.44140625" bestFit="1" customWidth="1"/>
  </cols>
  <sheetData>
    <row r="1" spans="4:18" ht="14.4" customHeight="1" x14ac:dyDescent="0.3">
      <c r="F1" s="17" t="s">
        <v>0</v>
      </c>
      <c r="G1" s="18"/>
      <c r="H1" s="18"/>
      <c r="I1" s="18"/>
      <c r="J1" s="19"/>
    </row>
    <row r="2" spans="4:18" ht="14.4" customHeight="1" x14ac:dyDescent="0.3">
      <c r="F2" s="20"/>
      <c r="G2" s="21"/>
      <c r="H2" s="21"/>
      <c r="I2" s="21"/>
      <c r="J2" s="22"/>
      <c r="L2" s="26" t="s">
        <v>12</v>
      </c>
      <c r="M2" s="26"/>
      <c r="N2" s="26"/>
      <c r="O2" s="26"/>
      <c r="P2" s="26"/>
      <c r="Q2" s="26"/>
      <c r="R2" s="26"/>
    </row>
    <row r="3" spans="4:18" ht="14.4" customHeight="1" x14ac:dyDescent="0.3">
      <c r="F3" s="23"/>
      <c r="G3" s="24"/>
      <c r="H3" s="24"/>
      <c r="I3" s="24"/>
      <c r="J3" s="25"/>
    </row>
    <row r="5" spans="4:18" ht="17.399999999999999" x14ac:dyDescent="0.3">
      <c r="D5" s="1" t="s">
        <v>1</v>
      </c>
    </row>
    <row r="7" spans="4:18" x14ac:dyDescent="0.3">
      <c r="D7" s="2" t="s">
        <v>2</v>
      </c>
    </row>
    <row r="9" spans="4:18" x14ac:dyDescent="0.3">
      <c r="D9" s="3" t="s">
        <v>3</v>
      </c>
      <c r="E9" s="3" t="s">
        <v>4</v>
      </c>
      <c r="F9" s="3" t="s">
        <v>5</v>
      </c>
      <c r="H9" s="3" t="s">
        <v>6</v>
      </c>
    </row>
    <row r="10" spans="4:18" x14ac:dyDescent="0.3">
      <c r="D10" s="3">
        <v>12</v>
      </c>
      <c r="E10" s="3">
        <v>34</v>
      </c>
      <c r="F10" s="3">
        <v>50</v>
      </c>
      <c r="H10" s="3">
        <f>D10*E10-F10</f>
        <v>358</v>
      </c>
      <c r="M10" s="3"/>
      <c r="N10" s="3"/>
      <c r="O10" s="3"/>
    </row>
    <row r="11" spans="4:18" x14ac:dyDescent="0.3">
      <c r="M11" s="3"/>
      <c r="N11" s="3"/>
      <c r="O11" s="3"/>
    </row>
    <row r="13" spans="4:18" x14ac:dyDescent="0.3">
      <c r="D13" s="3" t="s">
        <v>7</v>
      </c>
    </row>
    <row r="14" spans="4:18" x14ac:dyDescent="0.3">
      <c r="D14" s="3" t="s">
        <v>3</v>
      </c>
      <c r="E14" s="3" t="s">
        <v>4</v>
      </c>
      <c r="F14" s="3" t="s">
        <v>5</v>
      </c>
      <c r="H14" s="3" t="s">
        <v>6</v>
      </c>
      <c r="M14" s="3"/>
      <c r="N14" s="3"/>
      <c r="O14" s="3"/>
    </row>
    <row r="15" spans="4:18" x14ac:dyDescent="0.3">
      <c r="D15" s="4">
        <v>14.705882352941178</v>
      </c>
      <c r="E15" s="3">
        <v>34</v>
      </c>
      <c r="F15" s="3">
        <v>50</v>
      </c>
      <c r="H15" s="5">
        <f>D15*E15-F15</f>
        <v>450.00000000000006</v>
      </c>
    </row>
    <row r="17" spans="4:8" x14ac:dyDescent="0.3">
      <c r="D17" s="6" t="s">
        <v>8</v>
      </c>
      <c r="E17" s="3" t="s">
        <v>9</v>
      </c>
    </row>
    <row r="19" spans="4:8" x14ac:dyDescent="0.3">
      <c r="D19" s="2" t="s">
        <v>10</v>
      </c>
    </row>
    <row r="21" spans="4:8" x14ac:dyDescent="0.3">
      <c r="D21" s="3" t="s">
        <v>7</v>
      </c>
    </row>
    <row r="23" spans="4:8" x14ac:dyDescent="0.3">
      <c r="D23" s="3" t="s">
        <v>3</v>
      </c>
      <c r="E23" s="3" t="s">
        <v>4</v>
      </c>
      <c r="F23" s="3" t="s">
        <v>5</v>
      </c>
      <c r="H23" s="3" t="s">
        <v>6</v>
      </c>
    </row>
    <row r="24" spans="4:8" x14ac:dyDescent="0.3">
      <c r="D24" s="3">
        <v>12</v>
      </c>
      <c r="E24" s="4">
        <v>41.666666666666671</v>
      </c>
      <c r="F24" s="3">
        <v>50</v>
      </c>
      <c r="H24" s="5">
        <f>D24*E24-F24</f>
        <v>450.00000000000006</v>
      </c>
    </row>
    <row r="26" spans="4:8" x14ac:dyDescent="0.3">
      <c r="D26" s="6" t="s">
        <v>8</v>
      </c>
      <c r="E26" s="3" t="s">
        <v>11</v>
      </c>
    </row>
  </sheetData>
  <mergeCells count="2">
    <mergeCell ref="F1:J3"/>
    <mergeCell ref="L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2D07-D855-4E51-813A-0A50207C351C}">
  <dimension ref="C1:S67"/>
  <sheetViews>
    <sheetView tabSelected="1" topLeftCell="N1" workbookViewId="0">
      <selection activeCell="V15" sqref="V15"/>
    </sheetView>
  </sheetViews>
  <sheetFormatPr defaultRowHeight="14.4" x14ac:dyDescent="0.3"/>
  <cols>
    <col min="3" max="3" width="15.33203125" bestFit="1" customWidth="1"/>
    <col min="4" max="4" width="14.21875" customWidth="1"/>
    <col min="20" max="20" width="17.33203125" customWidth="1"/>
    <col min="21" max="21" width="10.109375" bestFit="1" customWidth="1"/>
  </cols>
  <sheetData>
    <row r="1" spans="3:9" ht="21" x14ac:dyDescent="0.4">
      <c r="D1" s="30" t="s">
        <v>0</v>
      </c>
      <c r="E1" s="30"/>
    </row>
    <row r="2" spans="3:9" ht="15.6" x14ac:dyDescent="0.3">
      <c r="C2" s="31" t="s">
        <v>12</v>
      </c>
      <c r="D2" s="31"/>
      <c r="E2" s="31"/>
      <c r="F2" s="31"/>
      <c r="G2" s="31"/>
      <c r="H2" s="31"/>
      <c r="I2" s="31"/>
    </row>
    <row r="4" spans="3:9" x14ac:dyDescent="0.3">
      <c r="C4" t="s">
        <v>13</v>
      </c>
      <c r="H4" t="s">
        <v>14</v>
      </c>
    </row>
    <row r="5" spans="3:9" x14ac:dyDescent="0.3">
      <c r="H5" t="s">
        <v>15</v>
      </c>
    </row>
    <row r="6" spans="3:9" x14ac:dyDescent="0.3">
      <c r="H6" t="s">
        <v>16</v>
      </c>
    </row>
    <row r="8" spans="3:9" x14ac:dyDescent="0.3">
      <c r="C8" s="7" t="s">
        <v>17</v>
      </c>
      <c r="D8" s="8">
        <v>100000</v>
      </c>
    </row>
    <row r="9" spans="3:9" ht="14.4" customHeight="1" x14ac:dyDescent="0.3">
      <c r="C9" s="7" t="s">
        <v>18</v>
      </c>
      <c r="D9" s="9">
        <v>0.105</v>
      </c>
    </row>
    <row r="10" spans="3:9" x14ac:dyDescent="0.3">
      <c r="C10" s="7" t="s">
        <v>19</v>
      </c>
      <c r="D10" s="8">
        <v>36</v>
      </c>
    </row>
    <row r="11" spans="3:9" x14ac:dyDescent="0.3">
      <c r="C11" s="7" t="s">
        <v>20</v>
      </c>
      <c r="D11" s="8"/>
      <c r="E11" s="10">
        <v>100000</v>
      </c>
      <c r="F11" s="8">
        <v>150000</v>
      </c>
      <c r="G11" s="8">
        <v>200000</v>
      </c>
    </row>
    <row r="12" spans="3:9" x14ac:dyDescent="0.3">
      <c r="C12" s="27" t="s">
        <v>21</v>
      </c>
      <c r="D12" s="8">
        <v>12</v>
      </c>
      <c r="E12" s="11"/>
      <c r="F12" s="11"/>
      <c r="G12" s="11"/>
    </row>
    <row r="13" spans="3:9" x14ac:dyDescent="0.3">
      <c r="C13" s="28"/>
      <c r="D13" s="8">
        <v>24</v>
      </c>
      <c r="E13" s="11"/>
      <c r="F13" s="11"/>
      <c r="G13" s="11"/>
    </row>
    <row r="14" spans="3:9" x14ac:dyDescent="0.3">
      <c r="C14" s="28"/>
      <c r="D14" s="8">
        <v>36</v>
      </c>
      <c r="E14" s="11"/>
      <c r="F14" s="11"/>
      <c r="G14" s="11"/>
    </row>
    <row r="15" spans="3:9" x14ac:dyDescent="0.3">
      <c r="C15" s="28"/>
      <c r="D15" s="8">
        <v>48</v>
      </c>
      <c r="E15" s="11"/>
      <c r="F15" s="11"/>
      <c r="G15" s="11"/>
    </row>
    <row r="16" spans="3:9" x14ac:dyDescent="0.3">
      <c r="C16" s="29"/>
      <c r="D16" s="8">
        <v>60</v>
      </c>
      <c r="E16" s="11"/>
      <c r="F16" s="11"/>
      <c r="G16" s="11"/>
    </row>
    <row r="19" spans="3:9" x14ac:dyDescent="0.3">
      <c r="C19" s="12" t="s">
        <v>22</v>
      </c>
    </row>
    <row r="21" spans="3:9" x14ac:dyDescent="0.3">
      <c r="C21" s="7" t="s">
        <v>17</v>
      </c>
      <c r="D21" s="8">
        <v>100000</v>
      </c>
      <c r="I21" t="s">
        <v>23</v>
      </c>
    </row>
    <row r="22" spans="3:9" x14ac:dyDescent="0.3">
      <c r="C22" s="7" t="s">
        <v>18</v>
      </c>
      <c r="D22" s="9">
        <v>0.105</v>
      </c>
      <c r="I22" t="s">
        <v>24</v>
      </c>
    </row>
    <row r="23" spans="3:9" x14ac:dyDescent="0.3">
      <c r="C23" s="7" t="s">
        <v>19</v>
      </c>
      <c r="D23" s="8">
        <v>36</v>
      </c>
    </row>
    <row r="24" spans="3:9" x14ac:dyDescent="0.3">
      <c r="C24" s="7" t="s">
        <v>20</v>
      </c>
      <c r="D24" s="13">
        <f>PMT(D22/12,D23,D21)</f>
        <v>-3250.244350468693</v>
      </c>
      <c r="E24" s="10">
        <v>100000</v>
      </c>
      <c r="F24" s="8">
        <v>150000</v>
      </c>
      <c r="G24" s="8">
        <v>200000</v>
      </c>
    </row>
    <row r="25" spans="3:9" x14ac:dyDescent="0.3">
      <c r="C25" s="27" t="s">
        <v>21</v>
      </c>
      <c r="D25" s="8">
        <v>12</v>
      </c>
      <c r="E25" s="11"/>
      <c r="F25" s="11"/>
      <c r="G25" s="11"/>
    </row>
    <row r="26" spans="3:9" x14ac:dyDescent="0.3">
      <c r="C26" s="28"/>
      <c r="D26" s="8">
        <v>24</v>
      </c>
      <c r="E26" s="11"/>
      <c r="F26" s="11"/>
      <c r="G26" s="11"/>
    </row>
    <row r="27" spans="3:9" x14ac:dyDescent="0.3">
      <c r="C27" s="28"/>
      <c r="D27" s="8">
        <v>36</v>
      </c>
      <c r="E27" s="11"/>
      <c r="F27" s="11"/>
      <c r="G27" s="11"/>
    </row>
    <row r="28" spans="3:9" x14ac:dyDescent="0.3">
      <c r="C28" s="28"/>
      <c r="D28" s="8">
        <v>48</v>
      </c>
      <c r="E28" s="11"/>
      <c r="F28" s="11"/>
      <c r="G28" s="11"/>
    </row>
    <row r="29" spans="3:9" x14ac:dyDescent="0.3">
      <c r="C29" s="29"/>
      <c r="D29" s="8">
        <v>60</v>
      </c>
      <c r="E29" s="11"/>
      <c r="F29" s="11"/>
      <c r="G29" s="11"/>
    </row>
    <row r="43" spans="3:14" x14ac:dyDescent="0.3">
      <c r="N43" s="3" t="s">
        <v>25</v>
      </c>
    </row>
    <row r="44" spans="3:14" x14ac:dyDescent="0.3">
      <c r="C44" s="3" t="s">
        <v>26</v>
      </c>
      <c r="D44" s="3" t="s">
        <v>27</v>
      </c>
      <c r="E44" s="3"/>
    </row>
    <row r="45" spans="3:14" x14ac:dyDescent="0.3">
      <c r="N45" t="s">
        <v>28</v>
      </c>
    </row>
    <row r="46" spans="3:14" x14ac:dyDescent="0.3">
      <c r="C46" s="7" t="s">
        <v>17</v>
      </c>
      <c r="D46" s="8">
        <v>100000</v>
      </c>
      <c r="N46" t="s">
        <v>29</v>
      </c>
    </row>
    <row r="47" spans="3:14" x14ac:dyDescent="0.3">
      <c r="C47" s="7" t="s">
        <v>18</v>
      </c>
      <c r="D47" s="9">
        <v>0.105</v>
      </c>
      <c r="N47" t="s">
        <v>30</v>
      </c>
    </row>
    <row r="48" spans="3:14" x14ac:dyDescent="0.3">
      <c r="C48" s="7" t="s">
        <v>19</v>
      </c>
      <c r="D48" s="8">
        <v>22.081405470786127</v>
      </c>
      <c r="N48" t="s">
        <v>31</v>
      </c>
    </row>
    <row r="49" spans="3:19" x14ac:dyDescent="0.3">
      <c r="C49" s="7" t="s">
        <v>20</v>
      </c>
      <c r="D49" s="13">
        <f>PMT(D47/12,D48,D46)</f>
        <v>-4999.9999947392034</v>
      </c>
      <c r="E49" s="10">
        <v>100000</v>
      </c>
      <c r="F49" s="8">
        <v>150000</v>
      </c>
      <c r="G49" s="8">
        <v>200000</v>
      </c>
      <c r="N49" s="32" t="s">
        <v>32</v>
      </c>
      <c r="O49" s="32"/>
      <c r="P49" s="32"/>
      <c r="Q49" s="32"/>
      <c r="R49" s="32"/>
      <c r="S49" s="32"/>
    </row>
    <row r="50" spans="3:19" x14ac:dyDescent="0.3">
      <c r="C50" s="27" t="s">
        <v>21</v>
      </c>
      <c r="D50" s="8">
        <v>12</v>
      </c>
      <c r="E50" s="11"/>
      <c r="F50" s="11"/>
      <c r="G50" s="11"/>
      <c r="N50" t="s">
        <v>33</v>
      </c>
    </row>
    <row r="51" spans="3:19" x14ac:dyDescent="0.3">
      <c r="C51" s="28"/>
      <c r="D51" s="8">
        <v>24</v>
      </c>
      <c r="E51" s="11"/>
      <c r="F51" s="11"/>
      <c r="G51" s="11"/>
      <c r="N51" t="s">
        <v>34</v>
      </c>
    </row>
    <row r="52" spans="3:19" x14ac:dyDescent="0.3">
      <c r="C52" s="28"/>
      <c r="D52" s="8">
        <v>36</v>
      </c>
      <c r="E52" s="11"/>
      <c r="F52" s="11"/>
      <c r="G52" s="11"/>
      <c r="N52" t="s">
        <v>35</v>
      </c>
    </row>
    <row r="53" spans="3:19" x14ac:dyDescent="0.3">
      <c r="C53" s="28"/>
      <c r="D53" s="8">
        <v>48</v>
      </c>
      <c r="E53" s="11"/>
      <c r="F53" s="11"/>
      <c r="G53" s="11"/>
    </row>
    <row r="54" spans="3:19" x14ac:dyDescent="0.3">
      <c r="C54" s="29"/>
      <c r="D54" s="8">
        <v>60</v>
      </c>
      <c r="E54" s="11"/>
      <c r="F54" s="11"/>
      <c r="G54" s="11"/>
    </row>
    <row r="57" spans="3:19" x14ac:dyDescent="0.3">
      <c r="C57" s="3" t="s">
        <v>36</v>
      </c>
      <c r="D57" s="3" t="s">
        <v>37</v>
      </c>
    </row>
    <row r="59" spans="3:19" x14ac:dyDescent="0.3">
      <c r="C59" s="7" t="s">
        <v>17</v>
      </c>
      <c r="D59" s="8">
        <v>100000</v>
      </c>
    </row>
    <row r="60" spans="3:19" x14ac:dyDescent="0.3">
      <c r="C60" s="7" t="s">
        <v>18</v>
      </c>
      <c r="D60" s="9">
        <v>0.105</v>
      </c>
    </row>
    <row r="61" spans="3:19" x14ac:dyDescent="0.3">
      <c r="C61" s="7" t="s">
        <v>19</v>
      </c>
      <c r="D61" s="8">
        <v>36</v>
      </c>
    </row>
    <row r="62" spans="3:19" x14ac:dyDescent="0.3">
      <c r="C62" s="7" t="s">
        <v>20</v>
      </c>
      <c r="D62" s="13">
        <f>PMT(D60/12,D61,D59)</f>
        <v>-3250.244350468693</v>
      </c>
      <c r="E62" s="10">
        <v>100000</v>
      </c>
      <c r="F62" s="8">
        <v>150000</v>
      </c>
      <c r="G62" s="8">
        <v>200000</v>
      </c>
    </row>
    <row r="63" spans="3:19" x14ac:dyDescent="0.3">
      <c r="C63" s="27" t="s">
        <v>21</v>
      </c>
      <c r="D63" s="8">
        <v>12</v>
      </c>
      <c r="E63" s="11">
        <v>-8814.8602894245996</v>
      </c>
      <c r="F63" s="11">
        <v>-13222.290434136901</v>
      </c>
      <c r="G63" s="11">
        <v>-17629.720578849199</v>
      </c>
    </row>
    <row r="64" spans="3:19" x14ac:dyDescent="0.3">
      <c r="C64" s="28"/>
      <c r="D64" s="8">
        <v>24</v>
      </c>
      <c r="E64" s="11">
        <v>-4637.6041639371642</v>
      </c>
      <c r="F64" s="11">
        <v>-6956.4062459057468</v>
      </c>
      <c r="G64" s="11">
        <v>-9275.2083278743285</v>
      </c>
    </row>
    <row r="65" spans="3:7" x14ac:dyDescent="0.3">
      <c r="C65" s="28"/>
      <c r="D65" s="8">
        <v>36</v>
      </c>
      <c r="E65" s="11">
        <v>-3250.244350468693</v>
      </c>
      <c r="F65" s="11">
        <v>-4875.3665257030398</v>
      </c>
      <c r="G65" s="11">
        <v>-6500.4887009373861</v>
      </c>
    </row>
    <row r="66" spans="3:7" x14ac:dyDescent="0.3">
      <c r="C66" s="28"/>
      <c r="D66" s="8">
        <v>48</v>
      </c>
      <c r="E66" s="11">
        <v>-2560.3379751904035</v>
      </c>
      <c r="F66" s="11">
        <v>-3840.5069627856046</v>
      </c>
      <c r="G66" s="11">
        <v>-5120.6759503808071</v>
      </c>
    </row>
    <row r="67" spans="3:7" x14ac:dyDescent="0.3">
      <c r="C67" s="29"/>
      <c r="D67" s="8">
        <v>60</v>
      </c>
      <c r="E67" s="11">
        <v>-2149.390037811746</v>
      </c>
      <c r="F67" s="11">
        <v>-3224.085056717619</v>
      </c>
      <c r="G67" s="11">
        <v>-4298.7800756234919</v>
      </c>
    </row>
  </sheetData>
  <mergeCells count="7">
    <mergeCell ref="N49:S49"/>
    <mergeCell ref="C50:C54"/>
    <mergeCell ref="C63:C67"/>
    <mergeCell ref="D1:E1"/>
    <mergeCell ref="C2:I2"/>
    <mergeCell ref="C12:C16"/>
    <mergeCell ref="C25:C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5916-BBE0-4473-A9EE-DF7D0A882378}">
  <dimension ref="A1:L12"/>
  <sheetViews>
    <sheetView workbookViewId="0">
      <selection activeCell="F10" sqref="F10"/>
    </sheetView>
  </sheetViews>
  <sheetFormatPr defaultRowHeight="14.4" x14ac:dyDescent="0.3"/>
  <sheetData>
    <row r="1" spans="1:12" x14ac:dyDescent="0.3">
      <c r="F1" s="33" t="s">
        <v>38</v>
      </c>
      <c r="G1" s="33"/>
      <c r="H1" s="33"/>
      <c r="I1" s="33"/>
    </row>
    <row r="2" spans="1:12" x14ac:dyDescent="0.3">
      <c r="F2" s="33"/>
      <c r="G2" s="33"/>
      <c r="H2" s="33"/>
      <c r="I2" s="33"/>
    </row>
    <row r="4" spans="1:12" ht="18" x14ac:dyDescent="0.35">
      <c r="E4" s="14" t="s">
        <v>39</v>
      </c>
    </row>
    <row r="6" spans="1:12" ht="20.399999999999999" x14ac:dyDescent="0.35">
      <c r="L6" s="15" t="s">
        <v>44</v>
      </c>
    </row>
    <row r="7" spans="1:12" ht="20.399999999999999" x14ac:dyDescent="0.35">
      <c r="A7" s="15" t="s">
        <v>40</v>
      </c>
    </row>
    <row r="10" spans="1:12" ht="17.399999999999999" x14ac:dyDescent="0.35">
      <c r="A10" s="16" t="s">
        <v>41</v>
      </c>
    </row>
    <row r="11" spans="1:12" ht="17.399999999999999" x14ac:dyDescent="0.35">
      <c r="A11" s="16" t="s">
        <v>42</v>
      </c>
    </row>
    <row r="12" spans="1:12" ht="17.399999999999999" x14ac:dyDescent="0.35">
      <c r="A12" s="16" t="s">
        <v>43</v>
      </c>
    </row>
  </sheetData>
  <mergeCells count="1">
    <mergeCell ref="F1: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8B53-2C06-4F7F-9D5A-DBBB7470DFF6}">
  <dimension ref="A1:S24"/>
  <sheetViews>
    <sheetView zoomScale="76" workbookViewId="0">
      <selection activeCell="O26" sqref="O26"/>
    </sheetView>
  </sheetViews>
  <sheetFormatPr defaultRowHeight="14.4" x14ac:dyDescent="0.3"/>
  <cols>
    <col min="6" max="6" width="15.21875" customWidth="1"/>
    <col min="10" max="10" width="1.21875" style="36" customWidth="1"/>
    <col min="12" max="12" width="12.88671875" customWidth="1"/>
    <col min="13" max="13" width="12.109375" bestFit="1" customWidth="1"/>
  </cols>
  <sheetData>
    <row r="1" spans="1:19" x14ac:dyDescent="0.3">
      <c r="F1" s="33" t="s">
        <v>38</v>
      </c>
      <c r="G1" s="33"/>
      <c r="H1" s="33"/>
      <c r="I1" s="33"/>
      <c r="J1"/>
    </row>
    <row r="2" spans="1:19" x14ac:dyDescent="0.3">
      <c r="F2" s="33"/>
      <c r="G2" s="33"/>
      <c r="H2" s="33"/>
      <c r="I2" s="33"/>
      <c r="J2"/>
    </row>
    <row r="3" spans="1:19" x14ac:dyDescent="0.3">
      <c r="J3"/>
    </row>
    <row r="4" spans="1:19" ht="18" x14ac:dyDescent="0.35">
      <c r="E4" s="14" t="s">
        <v>39</v>
      </c>
      <c r="J4"/>
    </row>
    <row r="6" spans="1:19" ht="20.399999999999999" x14ac:dyDescent="0.35">
      <c r="L6" s="15" t="s">
        <v>44</v>
      </c>
    </row>
    <row r="7" spans="1:19" ht="20.399999999999999" x14ac:dyDescent="0.35">
      <c r="A7" s="15" t="s">
        <v>40</v>
      </c>
    </row>
    <row r="8" spans="1:19" ht="15.6" x14ac:dyDescent="0.3">
      <c r="Q8" s="37" t="s">
        <v>53</v>
      </c>
    </row>
    <row r="9" spans="1:19" x14ac:dyDescent="0.3">
      <c r="M9" s="40">
        <f>F15</f>
        <v>733549.25217986223</v>
      </c>
      <c r="N9" s="3">
        <v>15</v>
      </c>
      <c r="O9" s="3">
        <v>16</v>
      </c>
      <c r="P9" s="3">
        <v>17</v>
      </c>
      <c r="Q9" s="3">
        <v>18</v>
      </c>
      <c r="R9" s="3">
        <v>19</v>
      </c>
      <c r="S9" s="3">
        <v>20</v>
      </c>
    </row>
    <row r="10" spans="1:19" ht="17.399999999999999" x14ac:dyDescent="0.35">
      <c r="A10" s="16" t="s">
        <v>41</v>
      </c>
      <c r="F10">
        <v>-2000</v>
      </c>
      <c r="M10" s="38">
        <v>0.03</v>
      </c>
      <c r="N10" s="3">
        <f t="dataTable" ref="N10:S22" dt2D="1" dtr="1" r1="F11" r2="F12"/>
        <v>453945.3797343967</v>
      </c>
      <c r="O10" s="3">
        <v>492085.32837628893</v>
      </c>
      <c r="P10" s="3">
        <v>531385.34005275625</v>
      </c>
      <c r="Q10" s="3">
        <v>571880.6991910754</v>
      </c>
      <c r="R10" s="3">
        <v>613607.76342814311</v>
      </c>
      <c r="S10" s="3">
        <v>656603.99625317217</v>
      </c>
    </row>
    <row r="11" spans="1:19" ht="17.399999999999999" x14ac:dyDescent="0.35">
      <c r="A11" s="16" t="s">
        <v>42</v>
      </c>
      <c r="F11">
        <v>20</v>
      </c>
      <c r="M11" s="39">
        <v>3.5000000000000003E-2</v>
      </c>
      <c r="N11" s="3">
        <v>472572.06538595154</v>
      </c>
      <c r="O11" s="3">
        <v>513768.78153349319</v>
      </c>
      <c r="P11" s="3">
        <v>556430.73934578348</v>
      </c>
      <c r="Q11" s="3">
        <v>600610.05300416599</v>
      </c>
      <c r="R11" s="3">
        <v>646360.69023262186</v>
      </c>
      <c r="S11" s="3">
        <v>693738.53822263016</v>
      </c>
    </row>
    <row r="12" spans="1:19" ht="17.399999999999999" x14ac:dyDescent="0.35">
      <c r="A12" s="16" t="s">
        <v>43</v>
      </c>
      <c r="F12" s="34">
        <v>0.04</v>
      </c>
      <c r="M12" s="38">
        <v>0.04</v>
      </c>
      <c r="N12" s="3">
        <v>492180.97642217926</v>
      </c>
      <c r="O12" s="3">
        <v>536678.11454926233</v>
      </c>
      <c r="P12" s="3">
        <v>582988.13473915798</v>
      </c>
      <c r="Q12" s="3">
        <v>631184.89660423668</v>
      </c>
      <c r="R12" s="3">
        <v>681345.2689114362</v>
      </c>
      <c r="S12" s="3">
        <v>733549.25217986223</v>
      </c>
    </row>
    <row r="13" spans="1:19" x14ac:dyDescent="0.3">
      <c r="M13" s="39">
        <v>4.4999999999999998E-2</v>
      </c>
      <c r="N13" s="3">
        <v>512829.33767524833</v>
      </c>
      <c r="O13" s="3">
        <v>560889.86774537852</v>
      </c>
      <c r="P13" s="3">
        <v>611158.29015828855</v>
      </c>
      <c r="Q13" s="3">
        <v>663736.03510191373</v>
      </c>
      <c r="R13" s="3">
        <v>718729.19244927808</v>
      </c>
      <c r="S13" s="3">
        <v>776248.72582360997</v>
      </c>
    </row>
    <row r="14" spans="1:19" x14ac:dyDescent="0.3">
      <c r="M14" s="38">
        <v>0.05</v>
      </c>
      <c r="N14" s="3">
        <v>534577.88757050014</v>
      </c>
      <c r="O14" s="3">
        <v>586485.61784744682</v>
      </c>
      <c r="P14" s="3">
        <v>641049.04612009518</v>
      </c>
      <c r="Q14" s="3">
        <v>698404.04293810634</v>
      </c>
      <c r="R14" s="3">
        <v>758693.43024632719</v>
      </c>
      <c r="S14" s="3">
        <v>822067.33703136398</v>
      </c>
    </row>
    <row r="15" spans="1:19" ht="17.399999999999999" x14ac:dyDescent="0.35">
      <c r="A15" s="16" t="s">
        <v>45</v>
      </c>
      <c r="F15" s="35">
        <f>FV(F12/12,F11*12,F10)</f>
        <v>733549.25217986223</v>
      </c>
      <c r="L15" s="37" t="s">
        <v>52</v>
      </c>
      <c r="M15" s="39">
        <v>5.5E-2</v>
      </c>
      <c r="N15" s="3">
        <v>557491.10071952117</v>
      </c>
      <c r="O15" s="3">
        <v>613552.31997241103</v>
      </c>
      <c r="P15" s="3">
        <v>672775.83265396068</v>
      </c>
      <c r="Q15" s="3">
        <v>735340.01697039232</v>
      </c>
      <c r="R15" s="3">
        <v>801433.31306088006</v>
      </c>
      <c r="S15" s="3">
        <v>871254.79056965979</v>
      </c>
    </row>
    <row r="16" spans="1:19" x14ac:dyDescent="0.3">
      <c r="M16" s="38">
        <v>0.06</v>
      </c>
      <c r="N16" s="3">
        <v>581637.42489885841</v>
      </c>
      <c r="O16" s="3">
        <v>642182.67331092013</v>
      </c>
      <c r="P16" s="3">
        <v>706462.22016383021</v>
      </c>
      <c r="Q16" s="3">
        <v>774706.38881426968</v>
      </c>
      <c r="R16" s="3">
        <v>847159.70845957927</v>
      </c>
      <c r="S16" s="3">
        <v>924081.79032293078</v>
      </c>
    </row>
    <row r="17" spans="3:19" x14ac:dyDescent="0.3">
      <c r="F17" s="3" t="s">
        <v>48</v>
      </c>
      <c r="M17" s="39">
        <v>6.5000000000000002E-2</v>
      </c>
      <c r="N17" s="3">
        <v>607089.53335543338</v>
      </c>
      <c r="O17" s="3">
        <v>672475.51216731465</v>
      </c>
      <c r="P17" s="3">
        <v>742240.51107522659</v>
      </c>
      <c r="Q17" s="3">
        <v>816677.80116495676</v>
      </c>
      <c r="R17" s="3">
        <v>896100.29443004669</v>
      </c>
      <c r="S17" s="3">
        <v>980841.85915975925</v>
      </c>
    </row>
    <row r="18" spans="3:19" x14ac:dyDescent="0.3">
      <c r="M18" s="38">
        <v>7.0000000000000007E-2</v>
      </c>
      <c r="N18" s="3">
        <v>633924.59344263526</v>
      </c>
      <c r="O18" s="3">
        <v>704536.22413864068</v>
      </c>
      <c r="P18" s="3">
        <v>780252.37532705092</v>
      </c>
      <c r="Q18" s="3">
        <v>861442.05320699455</v>
      </c>
      <c r="R18" s="3">
        <v>948500.93946557096</v>
      </c>
      <c r="S18" s="3">
        <v>1041853.3196510336</v>
      </c>
    </row>
    <row r="19" spans="3:19" x14ac:dyDescent="0.3">
      <c r="C19" s="3" t="s">
        <v>46</v>
      </c>
      <c r="F19" s="3" t="s">
        <v>47</v>
      </c>
      <c r="M19" s="39">
        <v>7.4999999999999997E-2</v>
      </c>
      <c r="N19" s="3">
        <v>662224.55265800934</v>
      </c>
      <c r="O19" s="3">
        <v>738477.19734105305</v>
      </c>
      <c r="P19" s="3">
        <v>820649.53300048655</v>
      </c>
      <c r="Q19" s="3">
        <v>909201.12063123228</v>
      </c>
      <c r="R19" s="3">
        <v>1004627.1981425801</v>
      </c>
      <c r="S19" s="3">
        <v>1107461.4500497712</v>
      </c>
    </row>
    <row r="20" spans="3:19" x14ac:dyDescent="0.3">
      <c r="E20" s="3"/>
      <c r="F20" s="3"/>
      <c r="G20" s="3"/>
      <c r="H20" s="3"/>
      <c r="I20" s="3"/>
      <c r="M20" s="38">
        <v>0.08</v>
      </c>
      <c r="N20" s="3">
        <v>692076.44322300376</v>
      </c>
      <c r="O20" s="3">
        <v>774418.29872586182</v>
      </c>
      <c r="P20" s="3">
        <v>863594.48762507224</v>
      </c>
      <c r="Q20" s="3">
        <v>960172.25622189068</v>
      </c>
      <c r="R20" s="3">
        <v>1064765.9319808148</v>
      </c>
      <c r="S20" s="3">
        <v>1178040.8312429143</v>
      </c>
    </row>
    <row r="21" spans="3:19" x14ac:dyDescent="0.3">
      <c r="E21" s="3"/>
      <c r="F21" s="3"/>
      <c r="G21" s="3"/>
      <c r="H21" s="3" t="s">
        <v>51</v>
      </c>
      <c r="I21" s="3"/>
      <c r="M21" s="39">
        <v>8.5000000000000006E-2</v>
      </c>
      <c r="N21" s="3">
        <v>723572.70642161078</v>
      </c>
      <c r="O21" s="3">
        <v>812487.38567344111</v>
      </c>
      <c r="P21" s="3">
        <v>909261.31397149386</v>
      </c>
      <c r="Q21" s="3">
        <v>1014589.1774586004</v>
      </c>
      <c r="R21" s="3">
        <v>1129227.0662150679</v>
      </c>
      <c r="S21" s="3">
        <v>1253997.9018083394</v>
      </c>
    </row>
    <row r="22" spans="3:19" x14ac:dyDescent="0.3">
      <c r="E22" s="3"/>
      <c r="F22" s="3" t="s">
        <v>49</v>
      </c>
      <c r="G22" s="3"/>
      <c r="H22" s="3" t="s">
        <v>50</v>
      </c>
      <c r="I22" s="3"/>
      <c r="M22" s="38">
        <v>9.0000000000000094E-2</v>
      </c>
      <c r="N22" s="3">
        <v>756811.53799438814</v>
      </c>
      <c r="O22" s="3">
        <v>852820.8532075102</v>
      </c>
      <c r="P22" s="3">
        <v>957836.50442829099</v>
      </c>
      <c r="Q22" s="3">
        <v>1072703.3480969912</v>
      </c>
      <c r="R22" s="3">
        <v>1198345.49401551</v>
      </c>
      <c r="S22" s="3">
        <v>1335773.7398593703</v>
      </c>
    </row>
    <row r="23" spans="3:19" x14ac:dyDescent="0.3">
      <c r="E23" s="3" t="s">
        <v>46</v>
      </c>
      <c r="F23" s="3"/>
      <c r="G23" s="3"/>
      <c r="H23" s="3"/>
      <c r="I23" s="3"/>
    </row>
    <row r="24" spans="3:19" x14ac:dyDescent="0.3">
      <c r="E24" s="3"/>
      <c r="F24" s="3"/>
      <c r="G24" s="3"/>
      <c r="H24" s="3"/>
      <c r="I24" s="3"/>
    </row>
  </sheetData>
  <mergeCells count="1">
    <mergeCell ref="F1: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Goal Seek 1</vt:lpstr>
      <vt:lpstr>Goal Seek 2</vt:lpstr>
      <vt:lpstr>Data Table</vt:lpstr>
      <vt:lpstr>Data Table 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Raj</dc:creator>
  <cp:lastModifiedBy>Jeevan Raj</cp:lastModifiedBy>
  <dcterms:created xsi:type="dcterms:W3CDTF">2015-06-05T18:17:20Z</dcterms:created>
  <dcterms:modified xsi:type="dcterms:W3CDTF">2023-08-05T17:29:55Z</dcterms:modified>
</cp:coreProperties>
</file>