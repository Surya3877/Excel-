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91914\Documents\Imarticsu Learning\IMARTICUS LEARNING STUDY MATERIALS\1. Excel\Excel PGA\1. Data Analytics with Excel\Data Analysis with Excel\Excel From Scartch\"/>
    </mc:Choice>
  </mc:AlternateContent>
  <xr:revisionPtr revIDLastSave="0" documentId="13_ncr:1_{C728A404-C362-4566-A9F7-D4CA84469D94}" xr6:coauthVersionLast="47" xr6:coauthVersionMax="47" xr10:uidLastSave="{00000000-0000-0000-0000-000000000000}"/>
  <bookViews>
    <workbookView minimized="1" xWindow="1812" yWindow="1812" windowWidth="17280" windowHeight="8880" xr2:uid="{00000000-000D-0000-FFFF-FFFF00000000}"/>
  </bookViews>
  <sheets>
    <sheet name="Indirect" sheetId="1" r:id="rId1"/>
    <sheet name="Jan" sheetId="2" r:id="rId2"/>
    <sheet name="Feb" sheetId="3" r:id="rId3"/>
  </sheets>
  <definedNames>
    <definedName name="_xlnm.Extract" localSheetId="0">Indirect!$G$45</definedName>
    <definedName name="Kiran">Indirect!$B$27:$D$27</definedName>
    <definedName name="Manju">Indirect!$B$29:$D$29</definedName>
    <definedName name="MySQL">Indirect!$B$27:$B$33</definedName>
    <definedName name="Pooja">Indirect!$B$31:$D$31</definedName>
    <definedName name="Python">Indirect!$C$27:$C$33</definedName>
    <definedName name="Raju">Indirect!$B$33:$D$33</definedName>
    <definedName name="Ramesh">Indirect!$B$32:$D$32</definedName>
    <definedName name="Reshma">Indirect!$B$30:$D$30</definedName>
    <definedName name="Rohan">Indirect!$B$28:$D$28</definedName>
    <definedName name="Stats">Indirect!$D$27:$D$33</definedName>
    <definedName name="Student_Name">Indirect!$B$27:$D$33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B24" i="1" a="1"/>
  <c r="B15" i="1" a="1"/>
  <c r="B39" i="1"/>
  <c r="B13" i="1" a="1"/>
  <c r="B47" i="1"/>
  <c r="B48" i="1"/>
  <c r="B38" i="1"/>
  <c r="B24" i="1" l="1"/>
  <c r="B15" i="1"/>
  <c r="B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<sst xmlns="http://schemas.openxmlformats.org/spreadsheetml/2006/main" count="226" uniqueCount="54">
  <si>
    <t>The INDIRECT function enables you to refer to a cell indirectly by providing the cell address as a text string.</t>
  </si>
  <si>
    <t>INDIRECT</t>
  </si>
  <si>
    <t xml:space="preserve">Basic Indirect </t>
  </si>
  <si>
    <t>Now will indirectly select H13</t>
  </si>
  <si>
    <t>H13</t>
  </si>
  <si>
    <t>I am going to learn Indirect</t>
  </si>
  <si>
    <t>I Love Excel</t>
  </si>
  <si>
    <t>Intermediate Level Indirect</t>
  </si>
  <si>
    <t>Based on the Student Name and Student Subject find the Marks</t>
  </si>
  <si>
    <t>Student Name</t>
  </si>
  <si>
    <t>Student Subject</t>
  </si>
  <si>
    <t>Student Marks</t>
  </si>
  <si>
    <t>MySQL</t>
  </si>
  <si>
    <t>Python</t>
  </si>
  <si>
    <t>Stats</t>
  </si>
  <si>
    <t>Kiran</t>
  </si>
  <si>
    <t>Rohan</t>
  </si>
  <si>
    <t>Manju</t>
  </si>
  <si>
    <t>Reshma</t>
  </si>
  <si>
    <t>Pooja</t>
  </si>
  <si>
    <t>Ramesh</t>
  </si>
  <si>
    <t>Raju</t>
  </si>
  <si>
    <t>Advance Level Indirect</t>
  </si>
  <si>
    <t>Average Score</t>
  </si>
  <si>
    <t>Total Marks</t>
  </si>
  <si>
    <t>Region</t>
  </si>
  <si>
    <t>Revenue</t>
  </si>
  <si>
    <t>Sales Rep</t>
  </si>
  <si>
    <t>Item</t>
  </si>
  <si>
    <t>Units</t>
  </si>
  <si>
    <t>Unit Cost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</si>
  <si>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</si>
  <si>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</si>
  <si>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</si>
  <si>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</si>
  <si>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</si>
  <si>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</si>
  <si>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</si>
  <si>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</si>
  <si>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</si>
  <si>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</si>
  <si>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</si>
  <si>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</si>
  <si>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</si>
  <si>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</si>
  <si>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</si>
  <si>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</si>
  <si>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</si>
  <si>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</si>
  <si>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</si>
  <si>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Month</t>
  </si>
  <si>
    <t>Units Sold</t>
  </si>
  <si>
    <t>Total Revenue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</si>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</sst>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0" fillId="0" borderId="0"/>
    <xf numFmtId="164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horizontal="left" indent="1"/>
    </xf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0" borderId="0" xfId="0" applyFont="1"/>
    <xf numFmtId="0" fontId="0" fillId="4" borderId="0" xfId="0" applyFill="1"/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9" fillId="6" borderId="1" xfId="0" applyFont="1" applyFill="1" applyBorder="1"/>
    <xf numFmtId="0" fontId="5" fillId="7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0" xfId="0"/>
    <xf numFmtId="0" fontId="10" fillId="0" borderId="0" xfId="1" applyFont="1" applyFill="1" applyBorder="1" applyAlignment="1" applyProtection="1">
      <alignment horizontal="left" vertical="center"/>
    </xf>
    <xf numFmtId="0" fontId="10" fillId="0" borderId="0" xfId="1" applyFont="1" applyFill="1" applyBorder="1" applyAlignment="1" applyProtection="1">
      <alignment vertical="center"/>
    </xf>
    <xf numFmtId="0" fontId="10" fillId="0" borderId="0" xfId="1" applyFont="1" applyFill="1" applyBorder="1" applyAlignment="1" applyProtection="1">
      <alignment vertical="center"/>
      <protection locked="0"/>
    </xf>
    <xf numFmtId="164" fontId="10" fillId="0" borderId="0" xfId="2" applyFont="1" applyFill="1" applyBorder="1" applyAlignment="1" applyProtection="1">
      <alignment horizontal="left" vertical="center"/>
    </xf>
    <xf numFmtId="164" fontId="10" fillId="0" borderId="0" xfId="2" applyFont="1" applyFill="1" applyBorder="1" applyAlignment="1" applyProtection="1">
      <alignment vertical="center"/>
    </xf>
    <xf numFmtId="1" fontId="10" fillId="8" borderId="0" xfId="1" applyNumberFormat="1" applyFont="1" applyFill="1" applyBorder="1" applyAlignment="1" applyProtection="1">
      <alignment horizontal="left" vertical="center"/>
    </xf>
    <xf numFmtId="0" fontId="10" fillId="8" borderId="0" xfId="1" applyFont="1" applyFill="1" applyBorder="1" applyAlignment="1" applyProtection="1">
      <alignment horizontal="left" vertical="center"/>
    </xf>
    <xf numFmtId="0" fontId="10" fillId="8" borderId="0" xfId="1" applyFont="1" applyFill="1" applyBorder="1" applyAlignment="1" applyProtection="1">
      <alignment horizontal="left" vertical="center"/>
      <protection locked="0"/>
    </xf>
    <xf numFmtId="2" fontId="0" fillId="0" borderId="0" xfId="0" applyNumberFormat="1"/>
    <xf numFmtId="43" fontId="0" fillId="0" borderId="0" xfId="0" applyNumberFormat="1"/>
    <xf numFmtId="0" fontId="10" fillId="0" borderId="0" xfId="1" applyFont="1" applyFill="1" applyBorder="1" applyAlignment="1">
      <alignment vertical="center"/>
    </xf>
    <xf numFmtId="0" fontId="0" fillId="0" borderId="0" xfId="0" quotePrefix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</cellXfs>
  <cellStyles count="6">
    <cellStyle name="Comma 2" xfId="2" xr:uid="{68C3F691-C8B8-4B97-9390-E860815459BC}"/>
    <cellStyle name="Ctx_Hyperlink" xfId="3" xr:uid="{7EF91B6B-759D-43A8-B22E-D3CCA3BA82E7}"/>
    <cellStyle name="Hyperlink 2" xfId="5" xr:uid="{78CAC793-7148-45DE-A8BE-091FFD386498}"/>
    <cellStyle name="Normal" xfId="0" builtinId="0"/>
    <cellStyle name="Normal 2" xfId="1" xr:uid="{981C4EAC-A6B8-4C32-BE9F-5E7C720A045D}"/>
    <cellStyle name="Normal 4" xfId="4" xr:uid="{ACBA2663-5711-4A6D-97B0-EAE2FEC9B93A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/>
        </patternFill>
      </fill>
      <alignment horizontal="left" vertical="center" textRotation="0" wrapText="0" indent="0" justifyLastLine="0" shrinkToFit="0" readingOrder="0"/>
      <protection locked="1" hidden="0"/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3A375-7E8D-4FEC-9CBA-5E9D23DA67CF}" name="Jan" displayName="Jan" ref="A1:F32" totalsRowShown="0" headerRowDxfId="12" headerRowCellStyle="Normal 2">
  <autoFilter ref="A1:F32" xr:uid="{6FC3A375-7E8D-4FEC-9CBA-5E9D23DA67CF}"/>
  <tableColumns count="6">
    <tableColumn id="1" xr3:uid="{D3F98DA0-DB91-4BDA-989D-CCB6439B58FD}" name="Region" dataDxfId="11" dataCellStyle="Normal 2"/>
    <tableColumn id="2" xr3:uid="{C2591851-2842-4A2A-A8BE-F43F2A957A67}" name="Sales Rep" dataDxfId="10" dataCellStyle="Normal 2"/>
    <tableColumn id="3" xr3:uid="{32DE7B2A-E4CC-4284-8C0A-489C4E5D2819}" name="Item" dataDxfId="9" dataCellStyle="Normal 2"/>
    <tableColumn id="4" xr3:uid="{ADAFE05B-4075-4F83-90A8-1512A7EE8B22}" name="Units" dataDxfId="8" dataCellStyle="Normal 2"/>
    <tableColumn id="5" xr3:uid="{967D89D4-6077-4F12-B797-1118C8CF6138}" name="Unit Cost" dataDxfId="7" dataCellStyle="Comma 2"/>
    <tableColumn id="6" xr3:uid="{A42D9849-87B8-4315-B5FD-53CBFD768D96}" name="Revenue" dataDxfId="6" dataCellStyle="Comma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EFFCDC-8F4C-41CE-95EC-0C1D093CF4A3}" name="Feb" displayName="Feb" ref="A1:F29" totalsRowShown="0" headerRowDxfId="5" headerRowCellStyle="Normal 2">
  <autoFilter ref="A1:F29" xr:uid="{90EFFCDC-8F4C-41CE-95EC-0C1D093CF4A3}"/>
  <tableColumns count="6">
    <tableColumn id="1" xr3:uid="{307D4832-E0B6-4465-9711-3061E22CC835}" name="Region" dataDxfId="4" dataCellStyle="Normal 2"/>
    <tableColumn id="2" xr3:uid="{2C31CD15-8E1C-4E62-A3F1-294B02349625}" name="Sales Rep" dataDxfId="3" dataCellStyle="Normal 2"/>
    <tableColumn id="3" xr3:uid="{19BED984-B81C-40E0-BD1A-605BE190FE29}" name="Item" dataDxfId="2" dataCellStyle="Normal 2"/>
    <tableColumn id="4" xr3:uid="{0DDBB247-8F45-4CCA-ABF8-C8845013767A}" name="Units"/>
    <tableColumn id="5" xr3:uid="{5CDC3BD5-7B89-43BD-9527-9A96D443E0FA}" name="Unit Cost" dataDxfId="1" dataCellStyle="Comma 2"/>
    <tableColumn id="6" xr3:uid="{80371AEE-0EBB-476F-A62F-1CA16999E424}" name="Revenue" dataDxfId="0" dataCellStyle="Comma 2">
      <calculatedColumnFormula>D2*E2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zoomScale="127" workbookViewId="0">
      <selection activeCell="G15" sqref="G15"/>
    </sheetView>
  </sheetViews>
  <sheetFormatPr defaultRowHeight="14.4" x14ac:dyDescent="0.3"/>
  <cols>
    <col min="1" max="1" width="14.6640625" customWidth="1"/>
    <col min="2" max="2" width="12.44140625" customWidth="1"/>
    <col min="7" max="7" width="8.88671875" style="12"/>
    <col min="8" max="8" width="23.109375" bestFit="1" customWidth="1"/>
  </cols>
  <sheetData>
    <row r="1" spans="1:11" x14ac:dyDescent="0.3">
      <c r="G1"/>
      <c r="I1" s="25" t="s">
        <v>1</v>
      </c>
      <c r="J1" s="26"/>
      <c r="K1" s="27"/>
    </row>
    <row r="2" spans="1:11" x14ac:dyDescent="0.3">
      <c r="G2"/>
      <c r="I2" s="28"/>
      <c r="J2" s="29"/>
      <c r="K2" s="30"/>
    </row>
    <row r="3" spans="1:11" ht="15" thickBot="1" x14ac:dyDescent="0.35">
      <c r="G3"/>
      <c r="I3" s="31"/>
      <c r="J3" s="32"/>
      <c r="K3" s="33"/>
    </row>
    <row r="5" spans="1:11" ht="22.8" x14ac:dyDescent="0.4">
      <c r="B5" s="2" t="s">
        <v>0</v>
      </c>
      <c r="G5"/>
    </row>
    <row r="6" spans="1:11" x14ac:dyDescent="0.3">
      <c r="A6" s="1"/>
      <c r="G6"/>
    </row>
    <row r="9" spans="1:11" ht="22.8" x14ac:dyDescent="0.4">
      <c r="A9" s="34" t="s">
        <v>2</v>
      </c>
      <c r="B9" s="34"/>
      <c r="C9" s="34"/>
      <c r="G9"/>
    </row>
    <row r="11" spans="1:11" ht="18" x14ac:dyDescent="0.35">
      <c r="A11" s="3" t="s">
        <v>3</v>
      </c>
      <c r="G11"/>
    </row>
    <row r="13" spans="1:11" x14ac:dyDescent="0.3">
      <c r="A13" s="4" t="s">
        <v>4</v>
      </c>
      <c r="B13" s="5" t="str" cm="1">
        <f t="array" aca="1" ref="B13" ca="1">INDIRECT(A13)</f>
        <v>I am going to learn Indirect</v>
      </c>
      <c r="C13" s="5"/>
      <c r="D13" s="5"/>
      <c r="G13"/>
      <c r="H13" t="s">
        <v>5</v>
      </c>
    </row>
    <row r="15" spans="1:11" x14ac:dyDescent="0.3">
      <c r="A15" s="4" t="s">
        <v>6</v>
      </c>
      <c r="B15" s="5" t="str" cm="1">
        <f t="array" aca="1" ref="B15" ca="1">INDIRECT("A15")</f>
        <v>I Love Excel</v>
      </c>
      <c r="G15"/>
    </row>
    <row r="18" spans="1:4" ht="22.8" x14ac:dyDescent="0.4">
      <c r="A18" s="34" t="s">
        <v>7</v>
      </c>
      <c r="B18" s="34"/>
      <c r="C18" s="34"/>
      <c r="D18" s="34"/>
    </row>
    <row r="20" spans="1:4" x14ac:dyDescent="0.3">
      <c r="A20" t="s">
        <v>8</v>
      </c>
    </row>
    <row r="22" spans="1:4" x14ac:dyDescent="0.3">
      <c r="A22" s="9" t="s">
        <v>9</v>
      </c>
      <c r="B22" s="10" t="s">
        <v>15</v>
      </c>
    </row>
    <row r="23" spans="1:4" x14ac:dyDescent="0.3">
      <c r="A23" s="9" t="s">
        <v>10</v>
      </c>
      <c r="B23" s="10" t="s">
        <v>14</v>
      </c>
    </row>
    <row r="24" spans="1:4" x14ac:dyDescent="0.3">
      <c r="A24" s="9" t="s">
        <v>11</v>
      </c>
      <c r="B24" s="11" cm="1">
        <f t="array" aca="1" ref="B24" ca="1">INDIRECT($B$22) INDIRECT($B$23)</f>
        <v>69</v>
      </c>
    </row>
    <row r="26" spans="1:4" x14ac:dyDescent="0.3">
      <c r="A26" s="6" t="s">
        <v>9</v>
      </c>
      <c r="B26" s="6" t="s">
        <v>12</v>
      </c>
      <c r="C26" s="6" t="s">
        <v>13</v>
      </c>
      <c r="D26" s="6" t="s">
        <v>14</v>
      </c>
    </row>
    <row r="27" spans="1:4" x14ac:dyDescent="0.3">
      <c r="A27" s="7" t="s">
        <v>15</v>
      </c>
      <c r="B27" s="7">
        <v>42</v>
      </c>
      <c r="C27" s="7">
        <v>48</v>
      </c>
      <c r="D27" s="7">
        <v>69</v>
      </c>
    </row>
    <row r="28" spans="1:4" x14ac:dyDescent="0.3">
      <c r="A28" s="7" t="s">
        <v>16</v>
      </c>
      <c r="B28" s="7">
        <v>23</v>
      </c>
      <c r="C28" s="7">
        <v>70</v>
      </c>
      <c r="D28" s="7">
        <v>34</v>
      </c>
    </row>
    <row r="29" spans="1:4" x14ac:dyDescent="0.3">
      <c r="A29" s="7" t="s">
        <v>17</v>
      </c>
      <c r="B29" s="7">
        <v>89</v>
      </c>
      <c r="C29" s="7">
        <v>80</v>
      </c>
      <c r="D29" s="7">
        <v>69</v>
      </c>
    </row>
    <row r="30" spans="1:4" x14ac:dyDescent="0.3">
      <c r="A30" s="7" t="s">
        <v>18</v>
      </c>
      <c r="B30" s="7">
        <v>22</v>
      </c>
      <c r="C30" s="7">
        <v>79</v>
      </c>
      <c r="D30" s="7">
        <v>90</v>
      </c>
    </row>
    <row r="31" spans="1:4" x14ac:dyDescent="0.3">
      <c r="A31" s="7" t="s">
        <v>19</v>
      </c>
      <c r="B31" s="7">
        <v>80</v>
      </c>
      <c r="C31" s="7">
        <v>49</v>
      </c>
      <c r="D31" s="7">
        <v>79</v>
      </c>
    </row>
    <row r="32" spans="1:4" x14ac:dyDescent="0.3">
      <c r="A32" s="7" t="s">
        <v>20</v>
      </c>
      <c r="B32" s="7">
        <v>70</v>
      </c>
      <c r="C32" s="7">
        <v>59</v>
      </c>
      <c r="D32" s="7">
        <v>71</v>
      </c>
    </row>
    <row r="33" spans="1:7" x14ac:dyDescent="0.3">
      <c r="A33" s="7" t="s">
        <v>21</v>
      </c>
      <c r="B33" s="7">
        <v>90</v>
      </c>
      <c r="C33" s="7">
        <v>95</v>
      </c>
      <c r="D33" s="7">
        <v>92</v>
      </c>
      <c r="G33"/>
    </row>
    <row r="35" spans="1:7" x14ac:dyDescent="0.3">
      <c r="A35" t="s">
        <v>8</v>
      </c>
      <c r="G35"/>
    </row>
    <row r="37" spans="1:7" x14ac:dyDescent="0.3">
      <c r="A37" s="9" t="s">
        <v>9</v>
      </c>
      <c r="B37" s="10" t="s">
        <v>15</v>
      </c>
      <c r="G37"/>
    </row>
    <row r="38" spans="1:7" x14ac:dyDescent="0.3">
      <c r="A38" s="9" t="s">
        <v>23</v>
      </c>
      <c r="B38" s="10">
        <f ca="1">AVERAGE(INDIRECT(B37))</f>
        <v>53</v>
      </c>
      <c r="G38"/>
    </row>
    <row r="39" spans="1:7" x14ac:dyDescent="0.3">
      <c r="A39" s="9" t="s">
        <v>24</v>
      </c>
      <c r="B39" s="8">
        <f ca="1">SUM(INDIRECT(B37))</f>
        <v>159</v>
      </c>
      <c r="G39"/>
    </row>
    <row r="41" spans="1:7" ht="22.8" x14ac:dyDescent="0.4">
      <c r="A41" s="34" t="s">
        <v>22</v>
      </c>
      <c r="B41" s="34"/>
      <c r="C41" s="34"/>
      <c r="D41" s="34"/>
      <c r="G41"/>
    </row>
    <row r="45" spans="1:7" x14ac:dyDescent="0.3">
      <c r="A45" s="9" t="s">
        <v>50</v>
      </c>
      <c r="B45" s="10" t="s">
        <v>53</v>
      </c>
      <c r="G45" s="14"/>
    </row>
    <row r="46" spans="1:7" x14ac:dyDescent="0.3">
      <c r="A46" s="9" t="s">
        <v>27</v>
      </c>
      <c r="B46" s="10" t="s">
        <v>38</v>
      </c>
      <c r="G46" s="23"/>
    </row>
    <row r="47" spans="1:7" x14ac:dyDescent="0.3">
      <c r="A47" s="9" t="s">
        <v>51</v>
      </c>
      <c r="B47" s="11">
        <f ca="1">SUMIF(INDIRECT(B45&amp;"[Sales Rep]"),B46,INDIRECT(B45&amp;"[Units]"))</f>
        <v>28</v>
      </c>
      <c r="G47" s="23"/>
    </row>
    <row r="48" spans="1:7" x14ac:dyDescent="0.3">
      <c r="A48" s="9" t="s">
        <v>52</v>
      </c>
      <c r="B48" s="11">
        <f ca="1">SUMIF(INDIRECT(B45&amp;"[Sales Rep]"),B46,INDIRECT(B45&amp;"[Revenue]"))</f>
        <v>295.71999999999997</v>
      </c>
      <c r="G48" s="23"/>
    </row>
    <row r="49" spans="7:7" x14ac:dyDescent="0.3">
      <c r="G49" s="23"/>
    </row>
    <row r="50" spans="7:7" x14ac:dyDescent="0.3">
      <c r="G50" s="23"/>
    </row>
    <row r="51" spans="7:7" x14ac:dyDescent="0.3">
      <c r="G51" s="23"/>
    </row>
    <row r="52" spans="7:7" x14ac:dyDescent="0.3">
      <c r="G52" s="23"/>
    </row>
    <row r="53" spans="7:7" x14ac:dyDescent="0.3">
      <c r="G53" s="23"/>
    </row>
    <row r="54" spans="7:7" x14ac:dyDescent="0.3">
      <c r="G54" s="23"/>
    </row>
    <row r="55" spans="7:7" x14ac:dyDescent="0.3">
      <c r="G55" s="23"/>
    </row>
    <row r="56" spans="7:7" x14ac:dyDescent="0.3">
      <c r="G56" s="23"/>
    </row>
  </sheetData>
  <mergeCells count="4">
    <mergeCell ref="I1:K3"/>
    <mergeCell ref="A9:C9"/>
    <mergeCell ref="A18:D18"/>
    <mergeCell ref="A41:D41"/>
  </mergeCells>
  <conditionalFormatting sqref="A26:D33">
    <cfRule type="expression" dxfId="13" priority="2">
      <formula>$B$24=A26</formula>
    </cfRule>
  </conditionalFormatting>
  <dataValidations count="4">
    <dataValidation type="list" allowBlank="1" showInputMessage="1" showErrorMessage="1" sqref="B22 B37" xr:uid="{E71C32FA-2AAA-4F08-93A4-CCE03578E708}">
      <formula1>$A$27:$A$33</formula1>
    </dataValidation>
    <dataValidation type="list" allowBlank="1" showInputMessage="1" showErrorMessage="1" sqref="B23" xr:uid="{6B10E564-20D2-48A2-AF1C-1EC30DDA35A7}">
      <formula1>$B$26:$D$26</formula1>
    </dataValidation>
    <dataValidation type="list" allowBlank="1" showInputMessage="1" showErrorMessage="1" sqref="B45" xr:uid="{E2BE93D9-72E2-41D4-9E93-C82692B3D93D}">
      <formula1>"Jan,Feb"</formula1>
    </dataValidation>
    <dataValidation type="list" allowBlank="1" showInputMessage="1" showErrorMessage="1" sqref="B46" xr:uid="{7EC5C437-17C9-48FA-BF3C-CB1F1D9D0786}">
      <formula1>"Jones,Kivell,Jardine,Gill,Sorvino,Andrews,Thompson,Morgan,Howard,Parent,Smith"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1A4B-CAA1-4C0B-920E-CE70E3CEC114}">
  <dimension ref="A1:H44"/>
  <sheetViews>
    <sheetView zoomScale="148" workbookViewId="0">
      <selection activeCell="A2" sqref="A2"/>
    </sheetView>
  </sheetViews>
  <sheetFormatPr defaultRowHeight="14.4" x14ac:dyDescent="0.3"/>
  <cols>
    <col min="1" max="1" width="11.21875" customWidth="1"/>
    <col min="2" max="2" width="10" customWidth="1"/>
    <col min="5" max="5" width="9.6640625" customWidth="1"/>
    <col min="6" max="6" width="9.33203125" customWidth="1"/>
  </cols>
  <sheetData>
    <row r="1" spans="1:8" x14ac:dyDescent="0.3">
      <c r="A1" s="18" t="s">
        <v>25</v>
      </c>
      <c r="B1" s="18" t="s">
        <v>27</v>
      </c>
      <c r="C1" s="19" t="s">
        <v>28</v>
      </c>
      <c r="D1" s="20" t="s">
        <v>29</v>
      </c>
      <c r="E1" s="19" t="s">
        <v>30</v>
      </c>
      <c r="F1" s="19" t="s">
        <v>26</v>
      </c>
      <c r="G1" s="12"/>
    </row>
    <row r="2" spans="1:8" x14ac:dyDescent="0.3">
      <c r="A2" s="14" t="s">
        <v>31</v>
      </c>
      <c r="B2" s="14" t="s">
        <v>32</v>
      </c>
      <c r="C2" s="13" t="s">
        <v>33</v>
      </c>
      <c r="D2" s="15">
        <v>95</v>
      </c>
      <c r="E2" s="16">
        <v>1.99</v>
      </c>
      <c r="F2" s="17">
        <v>189.05</v>
      </c>
      <c r="G2" s="12"/>
      <c r="H2" s="22"/>
    </row>
    <row r="3" spans="1:8" x14ac:dyDescent="0.3">
      <c r="A3" s="14" t="s">
        <v>34</v>
      </c>
      <c r="B3" s="14" t="s">
        <v>35</v>
      </c>
      <c r="C3" s="13" t="s">
        <v>36</v>
      </c>
      <c r="D3" s="15">
        <v>50</v>
      </c>
      <c r="E3" s="16">
        <v>19.989999999999998</v>
      </c>
      <c r="F3" s="17">
        <v>999.49999999999989</v>
      </c>
      <c r="G3" s="12"/>
    </row>
    <row r="4" spans="1:8" x14ac:dyDescent="0.3">
      <c r="A4" s="14" t="s">
        <v>34</v>
      </c>
      <c r="B4" s="14" t="s">
        <v>37</v>
      </c>
      <c r="C4" s="13" t="s">
        <v>33</v>
      </c>
      <c r="D4" s="15">
        <v>36</v>
      </c>
      <c r="E4" s="16">
        <v>4.99</v>
      </c>
      <c r="F4" s="17">
        <v>179.64000000000001</v>
      </c>
      <c r="G4" s="12"/>
    </row>
    <row r="5" spans="1:8" x14ac:dyDescent="0.3">
      <c r="A5" s="14" t="s">
        <v>34</v>
      </c>
      <c r="B5" s="14" t="s">
        <v>38</v>
      </c>
      <c r="C5" s="13" t="s">
        <v>39</v>
      </c>
      <c r="D5" s="15">
        <v>27</v>
      </c>
      <c r="E5" s="16">
        <v>19.989999999999998</v>
      </c>
      <c r="F5" s="17">
        <v>539.7299999999999</v>
      </c>
      <c r="G5" s="12"/>
    </row>
    <row r="6" spans="1:8" x14ac:dyDescent="0.3">
      <c r="A6" s="14" t="s">
        <v>40</v>
      </c>
      <c r="B6" s="14" t="s">
        <v>41</v>
      </c>
      <c r="C6" s="13" t="s">
        <v>33</v>
      </c>
      <c r="D6" s="15">
        <v>56</v>
      </c>
      <c r="E6" s="16">
        <v>2.99</v>
      </c>
      <c r="F6" s="17">
        <v>167.44</v>
      </c>
      <c r="G6" s="12"/>
    </row>
    <row r="7" spans="1:8" x14ac:dyDescent="0.3">
      <c r="A7" s="14" t="s">
        <v>31</v>
      </c>
      <c r="B7" s="14" t="s">
        <v>32</v>
      </c>
      <c r="C7" s="13" t="s">
        <v>36</v>
      </c>
      <c r="D7" s="15">
        <v>60</v>
      </c>
      <c r="E7" s="16">
        <v>4.99</v>
      </c>
      <c r="F7" s="17">
        <v>299.40000000000003</v>
      </c>
      <c r="G7" s="12"/>
    </row>
    <row r="8" spans="1:8" x14ac:dyDescent="0.3">
      <c r="A8" s="14" t="s">
        <v>34</v>
      </c>
      <c r="B8" s="14" t="s">
        <v>42</v>
      </c>
      <c r="C8" s="13" t="s">
        <v>33</v>
      </c>
      <c r="D8" s="15">
        <v>75</v>
      </c>
      <c r="E8" s="16">
        <v>1.99</v>
      </c>
      <c r="F8" s="17">
        <v>149.25</v>
      </c>
      <c r="G8" s="12"/>
    </row>
    <row r="9" spans="1:8" x14ac:dyDescent="0.3">
      <c r="A9" s="14" t="s">
        <v>34</v>
      </c>
      <c r="B9" s="14" t="s">
        <v>37</v>
      </c>
      <c r="C9" s="13" t="s">
        <v>33</v>
      </c>
      <c r="D9" s="15">
        <v>90</v>
      </c>
      <c r="E9" s="16">
        <v>4.99</v>
      </c>
      <c r="F9" s="17">
        <v>449.1</v>
      </c>
      <c r="G9" s="12"/>
    </row>
    <row r="10" spans="1:8" x14ac:dyDescent="0.3">
      <c r="A10" s="14" t="s">
        <v>40</v>
      </c>
      <c r="B10" s="14" t="s">
        <v>43</v>
      </c>
      <c r="C10" s="13" t="s">
        <v>33</v>
      </c>
      <c r="D10" s="15">
        <v>32</v>
      </c>
      <c r="E10" s="16">
        <v>1.99</v>
      </c>
      <c r="F10" s="17">
        <v>63.68</v>
      </c>
      <c r="G10" s="12"/>
    </row>
    <row r="11" spans="1:8" x14ac:dyDescent="0.3">
      <c r="A11" s="14" t="s">
        <v>31</v>
      </c>
      <c r="B11" s="14" t="s">
        <v>32</v>
      </c>
      <c r="C11" s="13" t="s">
        <v>36</v>
      </c>
      <c r="D11" s="15">
        <v>60</v>
      </c>
      <c r="E11" s="16">
        <v>8.99</v>
      </c>
      <c r="F11" s="17">
        <v>539.4</v>
      </c>
      <c r="G11" s="12"/>
    </row>
    <row r="12" spans="1:8" x14ac:dyDescent="0.3">
      <c r="A12" s="14" t="s">
        <v>34</v>
      </c>
      <c r="B12" s="14" t="s">
        <v>44</v>
      </c>
      <c r="C12" s="13" t="s">
        <v>33</v>
      </c>
      <c r="D12" s="15">
        <v>90</v>
      </c>
      <c r="E12" s="16">
        <v>4.99</v>
      </c>
      <c r="F12" s="17">
        <v>449.1</v>
      </c>
      <c r="G12" s="12"/>
    </row>
    <row r="13" spans="1:8" x14ac:dyDescent="0.3">
      <c r="A13" s="14" t="s">
        <v>31</v>
      </c>
      <c r="B13" s="14" t="s">
        <v>45</v>
      </c>
      <c r="C13" s="13" t="s">
        <v>36</v>
      </c>
      <c r="D13" s="15">
        <v>29</v>
      </c>
      <c r="E13" s="16">
        <v>1.99</v>
      </c>
      <c r="F13" s="17">
        <v>57.71</v>
      </c>
      <c r="G13" s="12"/>
    </row>
    <row r="14" spans="1:8" x14ac:dyDescent="0.3">
      <c r="A14" s="14" t="s">
        <v>31</v>
      </c>
      <c r="B14" s="14" t="s">
        <v>46</v>
      </c>
      <c r="C14" s="13" t="s">
        <v>36</v>
      </c>
      <c r="D14" s="15">
        <v>81</v>
      </c>
      <c r="E14" s="16">
        <v>19.989999999999998</v>
      </c>
      <c r="F14" s="17">
        <v>1619.1899999999998</v>
      </c>
      <c r="G14" s="12"/>
    </row>
    <row r="15" spans="1:8" x14ac:dyDescent="0.3">
      <c r="A15" s="14" t="s">
        <v>31</v>
      </c>
      <c r="B15" s="14" t="s">
        <v>32</v>
      </c>
      <c r="C15" s="13" t="s">
        <v>33</v>
      </c>
      <c r="D15" s="15">
        <v>35</v>
      </c>
      <c r="E15" s="16">
        <v>4.99</v>
      </c>
      <c r="F15" s="17">
        <v>174.65</v>
      </c>
      <c r="G15" s="12"/>
    </row>
    <row r="16" spans="1:8" x14ac:dyDescent="0.3">
      <c r="A16" s="14" t="s">
        <v>34</v>
      </c>
      <c r="B16" s="14" t="s">
        <v>47</v>
      </c>
      <c r="C16" s="13" t="s">
        <v>48</v>
      </c>
      <c r="D16" s="15">
        <v>2</v>
      </c>
      <c r="E16" s="16">
        <v>125</v>
      </c>
      <c r="F16" s="17">
        <v>250</v>
      </c>
      <c r="G16" s="12"/>
    </row>
    <row r="17" spans="1:7" x14ac:dyDescent="0.3">
      <c r="A17" s="14" t="s">
        <v>31</v>
      </c>
      <c r="B17" s="14" t="s">
        <v>32</v>
      </c>
      <c r="C17" s="13" t="s">
        <v>49</v>
      </c>
      <c r="D17" s="15">
        <v>16</v>
      </c>
      <c r="E17" s="16">
        <v>15.99</v>
      </c>
      <c r="F17" s="17">
        <v>255.84</v>
      </c>
      <c r="G17" s="12"/>
    </row>
    <row r="18" spans="1:7" x14ac:dyDescent="0.3">
      <c r="A18" s="14" t="s">
        <v>34</v>
      </c>
      <c r="B18" s="14" t="s">
        <v>44</v>
      </c>
      <c r="C18" s="13" t="s">
        <v>36</v>
      </c>
      <c r="D18" s="15">
        <v>28</v>
      </c>
      <c r="E18" s="16">
        <v>8.99</v>
      </c>
      <c r="F18" s="17">
        <v>251.72</v>
      </c>
      <c r="G18" s="12"/>
    </row>
    <row r="19" spans="1:7" x14ac:dyDescent="0.3">
      <c r="A19" s="14" t="s">
        <v>31</v>
      </c>
      <c r="B19" s="14" t="s">
        <v>32</v>
      </c>
      <c r="C19" s="13" t="s">
        <v>39</v>
      </c>
      <c r="D19" s="15">
        <v>64</v>
      </c>
      <c r="E19" s="16">
        <v>8.99</v>
      </c>
      <c r="F19" s="17">
        <v>575.36</v>
      </c>
      <c r="G19" s="12"/>
    </row>
    <row r="20" spans="1:7" x14ac:dyDescent="0.3">
      <c r="A20" s="14" t="s">
        <v>31</v>
      </c>
      <c r="B20" s="14" t="s">
        <v>46</v>
      </c>
      <c r="C20" s="13" t="s">
        <v>39</v>
      </c>
      <c r="D20" s="15">
        <v>15</v>
      </c>
      <c r="E20" s="16">
        <v>19.989999999999998</v>
      </c>
      <c r="F20" s="17">
        <v>299.84999999999997</v>
      </c>
      <c r="G20" s="12"/>
    </row>
    <row r="21" spans="1:7" x14ac:dyDescent="0.3">
      <c r="A21" s="14" t="s">
        <v>34</v>
      </c>
      <c r="B21" s="14" t="s">
        <v>35</v>
      </c>
      <c r="C21" s="13" t="s">
        <v>49</v>
      </c>
      <c r="D21" s="15">
        <v>96</v>
      </c>
      <c r="E21" s="16">
        <v>4.99</v>
      </c>
      <c r="F21" s="17">
        <v>479.04</v>
      </c>
      <c r="G21" s="12"/>
    </row>
    <row r="22" spans="1:7" x14ac:dyDescent="0.3">
      <c r="A22" s="14" t="s">
        <v>34</v>
      </c>
      <c r="B22" s="14" t="s">
        <v>47</v>
      </c>
      <c r="C22" s="13" t="s">
        <v>33</v>
      </c>
      <c r="D22" s="15">
        <v>67</v>
      </c>
      <c r="E22" s="16">
        <v>1.29</v>
      </c>
      <c r="F22" s="17">
        <v>86.43</v>
      </c>
      <c r="G22" s="12"/>
    </row>
    <row r="23" spans="1:7" x14ac:dyDescent="0.3">
      <c r="A23" s="14" t="s">
        <v>31</v>
      </c>
      <c r="B23" s="14" t="s">
        <v>46</v>
      </c>
      <c r="C23" s="13" t="s">
        <v>49</v>
      </c>
      <c r="D23" s="15">
        <v>74</v>
      </c>
      <c r="E23" s="16">
        <v>15.99</v>
      </c>
      <c r="F23" s="17">
        <v>1183.26</v>
      </c>
      <c r="G23" s="12"/>
    </row>
    <row r="24" spans="1:7" x14ac:dyDescent="0.3">
      <c r="A24" s="14" t="s">
        <v>34</v>
      </c>
      <c r="B24" s="14" t="s">
        <v>38</v>
      </c>
      <c r="C24" s="13" t="s">
        <v>36</v>
      </c>
      <c r="D24" s="15">
        <v>46</v>
      </c>
      <c r="E24" s="16">
        <v>8.99</v>
      </c>
      <c r="F24" s="17">
        <v>413.54</v>
      </c>
      <c r="G24" s="12"/>
    </row>
    <row r="25" spans="1:7" x14ac:dyDescent="0.3">
      <c r="A25" s="14" t="s">
        <v>34</v>
      </c>
      <c r="B25" s="14" t="s">
        <v>47</v>
      </c>
      <c r="C25" s="13" t="s">
        <v>36</v>
      </c>
      <c r="D25" s="15">
        <v>87</v>
      </c>
      <c r="E25" s="16">
        <v>15</v>
      </c>
      <c r="F25" s="17">
        <v>1305</v>
      </c>
      <c r="G25" s="12"/>
    </row>
    <row r="26" spans="1:7" x14ac:dyDescent="0.3">
      <c r="A26" s="14" t="s">
        <v>31</v>
      </c>
      <c r="B26" s="14" t="s">
        <v>32</v>
      </c>
      <c r="C26" s="13" t="s">
        <v>36</v>
      </c>
      <c r="D26" s="15">
        <v>4</v>
      </c>
      <c r="E26" s="16">
        <v>4.99</v>
      </c>
      <c r="F26" s="17">
        <v>19.96</v>
      </c>
      <c r="G26" s="12"/>
    </row>
    <row r="27" spans="1:7" x14ac:dyDescent="0.3">
      <c r="A27" s="14" t="s">
        <v>40</v>
      </c>
      <c r="B27" s="14" t="s">
        <v>41</v>
      </c>
      <c r="C27" s="13" t="s">
        <v>36</v>
      </c>
      <c r="D27" s="15">
        <v>7</v>
      </c>
      <c r="E27" s="16">
        <v>19.989999999999998</v>
      </c>
      <c r="F27" s="17">
        <v>139.92999999999998</v>
      </c>
      <c r="G27" s="12"/>
    </row>
    <row r="28" spans="1:7" x14ac:dyDescent="0.3">
      <c r="A28" s="14" t="s">
        <v>34</v>
      </c>
      <c r="B28" s="14" t="s">
        <v>37</v>
      </c>
      <c r="C28" s="13" t="s">
        <v>49</v>
      </c>
      <c r="D28" s="15">
        <v>50</v>
      </c>
      <c r="E28" s="16">
        <v>4.99</v>
      </c>
      <c r="F28" s="17">
        <v>249.5</v>
      </c>
      <c r="G28" s="12"/>
    </row>
    <row r="29" spans="1:7" x14ac:dyDescent="0.3">
      <c r="A29" s="14" t="s">
        <v>34</v>
      </c>
      <c r="B29" s="14" t="s">
        <v>42</v>
      </c>
      <c r="C29" s="13" t="s">
        <v>33</v>
      </c>
      <c r="D29" s="15">
        <v>66</v>
      </c>
      <c r="E29" s="16">
        <v>1.99</v>
      </c>
      <c r="F29" s="17">
        <v>131.34</v>
      </c>
      <c r="G29" s="12"/>
    </row>
    <row r="30" spans="1:7" x14ac:dyDescent="0.3">
      <c r="A30" s="14" t="s">
        <v>31</v>
      </c>
      <c r="B30" s="14" t="s">
        <v>45</v>
      </c>
      <c r="C30" s="13" t="s">
        <v>39</v>
      </c>
      <c r="D30" s="15">
        <v>96</v>
      </c>
      <c r="E30" s="16">
        <v>4.99</v>
      </c>
      <c r="F30" s="17">
        <v>479.04</v>
      </c>
      <c r="G30" s="12"/>
    </row>
    <row r="31" spans="1:7" x14ac:dyDescent="0.3">
      <c r="A31" s="14" t="s">
        <v>34</v>
      </c>
      <c r="B31" s="14" t="s">
        <v>38</v>
      </c>
      <c r="C31" s="13" t="s">
        <v>33</v>
      </c>
      <c r="D31" s="15">
        <v>53</v>
      </c>
      <c r="E31" s="16">
        <v>1.29</v>
      </c>
      <c r="F31" s="17">
        <v>68.37</v>
      </c>
      <c r="G31" s="12"/>
    </row>
    <row r="32" spans="1:7" x14ac:dyDescent="0.3">
      <c r="A32" s="14" t="s">
        <v>34</v>
      </c>
      <c r="B32" s="14" t="s">
        <v>38</v>
      </c>
      <c r="C32" s="13" t="s">
        <v>36</v>
      </c>
      <c r="D32" s="15">
        <v>80</v>
      </c>
      <c r="E32" s="16">
        <v>8.99</v>
      </c>
      <c r="F32" s="17">
        <v>719.2</v>
      </c>
      <c r="G32" s="12"/>
    </row>
    <row r="33" spans="1:7" x14ac:dyDescent="0.3">
      <c r="A33" s="14"/>
      <c r="B33" s="14"/>
      <c r="C33" s="13"/>
      <c r="D33" s="15"/>
      <c r="E33" s="16"/>
      <c r="F33" s="17"/>
      <c r="G33" s="12"/>
    </row>
    <row r="34" spans="1:7" x14ac:dyDescent="0.3">
      <c r="A34" s="14"/>
      <c r="B34" s="14"/>
      <c r="C34" s="13"/>
      <c r="D34" s="15"/>
      <c r="E34" s="16"/>
      <c r="F34" s="17"/>
      <c r="G34" s="12"/>
    </row>
    <row r="35" spans="1:7" x14ac:dyDescent="0.3">
      <c r="A35" s="14"/>
      <c r="B35" s="14"/>
      <c r="C35" s="13"/>
      <c r="D35" s="15"/>
      <c r="E35" s="16"/>
      <c r="F35" s="17"/>
      <c r="G35" s="12"/>
    </row>
    <row r="36" spans="1:7" x14ac:dyDescent="0.3">
      <c r="A36" s="14"/>
      <c r="B36" s="14"/>
      <c r="C36" s="13"/>
      <c r="D36" s="15"/>
      <c r="E36" s="16"/>
      <c r="F36" s="17"/>
      <c r="G36" s="12"/>
    </row>
    <row r="37" spans="1:7" x14ac:dyDescent="0.3">
      <c r="A37" s="14"/>
      <c r="B37" s="14"/>
      <c r="C37" s="13"/>
      <c r="D37" s="15"/>
      <c r="E37" s="16"/>
      <c r="F37" s="17"/>
      <c r="G37" s="12"/>
    </row>
    <row r="38" spans="1:7" x14ac:dyDescent="0.3">
      <c r="A38" s="14"/>
      <c r="B38" s="14"/>
      <c r="C38" s="13"/>
      <c r="D38" s="15"/>
      <c r="E38" s="16"/>
      <c r="F38" s="17"/>
      <c r="G38" s="12"/>
    </row>
    <row r="39" spans="1:7" x14ac:dyDescent="0.3">
      <c r="A39" s="14"/>
      <c r="B39" s="14"/>
      <c r="C39" s="13"/>
      <c r="D39" s="15"/>
      <c r="E39" s="16"/>
      <c r="F39" s="17"/>
      <c r="G39" s="12"/>
    </row>
    <row r="40" spans="1:7" x14ac:dyDescent="0.3">
      <c r="A40" s="14"/>
      <c r="B40" s="14"/>
      <c r="C40" s="13"/>
      <c r="D40" s="15"/>
      <c r="E40" s="16"/>
      <c r="F40" s="17"/>
      <c r="G40" s="12"/>
    </row>
    <row r="41" spans="1:7" x14ac:dyDescent="0.3">
      <c r="A41" s="14"/>
      <c r="B41" s="14"/>
      <c r="C41" s="13"/>
      <c r="D41" s="15"/>
      <c r="E41" s="16"/>
      <c r="F41" s="17"/>
      <c r="G41" s="12"/>
    </row>
    <row r="42" spans="1:7" x14ac:dyDescent="0.3">
      <c r="A42" s="14"/>
      <c r="B42" s="14"/>
      <c r="C42" s="13"/>
      <c r="D42" s="15"/>
      <c r="E42" s="16"/>
      <c r="F42" s="17"/>
      <c r="G42" s="12"/>
    </row>
    <row r="43" spans="1:7" x14ac:dyDescent="0.3">
      <c r="A43" s="14"/>
      <c r="B43" s="14"/>
      <c r="C43" s="13"/>
      <c r="D43" s="15"/>
      <c r="E43" s="16"/>
      <c r="F43" s="17"/>
      <c r="G43" s="12"/>
    </row>
    <row r="44" spans="1:7" x14ac:dyDescent="0.3">
      <c r="A44" s="14"/>
      <c r="B44" s="14"/>
      <c r="C44" s="13"/>
      <c r="D44" s="15"/>
      <c r="E44" s="16"/>
      <c r="F44" s="17"/>
      <c r="G44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0376-AF91-4C23-A258-B95FAF22CA94}">
  <dimension ref="A1:L32"/>
  <sheetViews>
    <sheetView zoomScale="126" workbookViewId="0">
      <selection activeCell="I19" sqref="I19"/>
    </sheetView>
  </sheetViews>
  <sheetFormatPr defaultRowHeight="14.4" x14ac:dyDescent="0.3"/>
  <cols>
    <col min="2" max="2" width="10.33203125" customWidth="1"/>
    <col min="5" max="5" width="10" customWidth="1"/>
    <col min="6" max="6" width="10.109375" bestFit="1" customWidth="1"/>
  </cols>
  <sheetData>
    <row r="1" spans="1:12" x14ac:dyDescent="0.3">
      <c r="A1" s="18" t="s">
        <v>25</v>
      </c>
      <c r="B1" s="18" t="s">
        <v>27</v>
      </c>
      <c r="C1" s="19" t="s">
        <v>28</v>
      </c>
      <c r="D1" s="20" t="s">
        <v>29</v>
      </c>
      <c r="E1" s="19" t="s">
        <v>30</v>
      </c>
      <c r="F1" s="19" t="s">
        <v>26</v>
      </c>
    </row>
    <row r="2" spans="1:12" x14ac:dyDescent="0.3">
      <c r="A2" s="14" t="s">
        <v>31</v>
      </c>
      <c r="B2" s="14" t="s">
        <v>32</v>
      </c>
      <c r="C2" s="13" t="s">
        <v>33</v>
      </c>
      <c r="D2" s="12">
        <v>46</v>
      </c>
      <c r="E2" s="16">
        <v>1.99</v>
      </c>
      <c r="F2" s="17">
        <f>D2*E2</f>
        <v>91.54</v>
      </c>
      <c r="I2" s="21"/>
      <c r="J2" s="22"/>
      <c r="L2" s="22"/>
    </row>
    <row r="3" spans="1:12" x14ac:dyDescent="0.3">
      <c r="A3" s="14" t="s">
        <v>34</v>
      </c>
      <c r="B3" s="14" t="s">
        <v>35</v>
      </c>
      <c r="C3" s="13" t="s">
        <v>36</v>
      </c>
      <c r="D3" s="12">
        <v>83</v>
      </c>
      <c r="E3" s="16">
        <v>19.989999999999998</v>
      </c>
      <c r="F3" s="17">
        <f t="shared" ref="F3:F29" si="0">D3*E3</f>
        <v>1659.1699999999998</v>
      </c>
      <c r="I3" s="21"/>
      <c r="J3" s="22"/>
      <c r="L3" s="22"/>
    </row>
    <row r="4" spans="1:12" x14ac:dyDescent="0.3">
      <c r="A4" s="14" t="s">
        <v>34</v>
      </c>
      <c r="B4" s="14" t="s">
        <v>37</v>
      </c>
      <c r="C4" s="13" t="s">
        <v>33</v>
      </c>
      <c r="D4" s="12">
        <v>86</v>
      </c>
      <c r="E4" s="16">
        <v>4.99</v>
      </c>
      <c r="F4" s="17">
        <f t="shared" si="0"/>
        <v>429.14000000000004</v>
      </c>
      <c r="I4" s="21"/>
      <c r="J4" s="22"/>
      <c r="K4" s="24"/>
      <c r="L4" s="22"/>
    </row>
    <row r="5" spans="1:12" x14ac:dyDescent="0.3">
      <c r="A5" s="14" t="s">
        <v>34</v>
      </c>
      <c r="B5" s="14" t="s">
        <v>38</v>
      </c>
      <c r="C5" s="13" t="s">
        <v>39</v>
      </c>
      <c r="D5" s="12">
        <v>4</v>
      </c>
      <c r="E5" s="16">
        <v>19.989999999999998</v>
      </c>
      <c r="F5" s="17">
        <f t="shared" si="0"/>
        <v>79.959999999999994</v>
      </c>
      <c r="I5" s="21"/>
      <c r="J5" s="22"/>
      <c r="L5" s="22"/>
    </row>
    <row r="6" spans="1:12" x14ac:dyDescent="0.3">
      <c r="A6" s="14" t="s">
        <v>40</v>
      </c>
      <c r="B6" s="14" t="s">
        <v>41</v>
      </c>
      <c r="C6" s="13" t="s">
        <v>33</v>
      </c>
      <c r="D6" s="12">
        <v>33</v>
      </c>
      <c r="E6" s="16">
        <v>2.99</v>
      </c>
      <c r="F6" s="17">
        <f t="shared" si="0"/>
        <v>98.67</v>
      </c>
      <c r="I6" s="21"/>
      <c r="J6" s="22"/>
      <c r="L6" s="22"/>
    </row>
    <row r="7" spans="1:12" x14ac:dyDescent="0.3">
      <c r="A7" s="14" t="s">
        <v>31</v>
      </c>
      <c r="B7" s="14" t="s">
        <v>32</v>
      </c>
      <c r="C7" s="13" t="s">
        <v>36</v>
      </c>
      <c r="D7" s="12">
        <v>34</v>
      </c>
      <c r="E7" s="16">
        <v>4.99</v>
      </c>
      <c r="F7" s="17">
        <f t="shared" si="0"/>
        <v>169.66</v>
      </c>
      <c r="I7" s="21"/>
      <c r="J7" s="22"/>
      <c r="L7" s="22"/>
    </row>
    <row r="8" spans="1:12" x14ac:dyDescent="0.3">
      <c r="A8" s="14" t="s">
        <v>34</v>
      </c>
      <c r="B8" s="14" t="s">
        <v>42</v>
      </c>
      <c r="C8" s="13" t="s">
        <v>33</v>
      </c>
      <c r="D8" s="12">
        <v>81</v>
      </c>
      <c r="E8" s="16">
        <v>1.99</v>
      </c>
      <c r="F8" s="17">
        <f t="shared" si="0"/>
        <v>161.19</v>
      </c>
      <c r="I8" s="21"/>
      <c r="J8" s="22"/>
      <c r="L8" s="22"/>
    </row>
    <row r="9" spans="1:12" x14ac:dyDescent="0.3">
      <c r="A9" s="14" t="s">
        <v>34</v>
      </c>
      <c r="B9" s="14" t="s">
        <v>37</v>
      </c>
      <c r="C9" s="13" t="s">
        <v>33</v>
      </c>
      <c r="D9" s="12">
        <v>80</v>
      </c>
      <c r="E9" s="16">
        <v>4.99</v>
      </c>
      <c r="F9" s="17">
        <f t="shared" si="0"/>
        <v>399.20000000000005</v>
      </c>
      <c r="I9" s="21"/>
      <c r="J9" s="22"/>
      <c r="L9" s="22"/>
    </row>
    <row r="10" spans="1:12" x14ac:dyDescent="0.3">
      <c r="A10" s="14" t="s">
        <v>40</v>
      </c>
      <c r="B10" s="14" t="s">
        <v>43</v>
      </c>
      <c r="C10" s="13" t="s">
        <v>33</v>
      </c>
      <c r="D10" s="12">
        <v>14</v>
      </c>
      <c r="E10" s="16">
        <v>1.99</v>
      </c>
      <c r="F10" s="17">
        <f t="shared" si="0"/>
        <v>27.86</v>
      </c>
      <c r="I10" s="21"/>
      <c r="J10" s="22"/>
      <c r="L10" s="22"/>
    </row>
    <row r="11" spans="1:12" x14ac:dyDescent="0.3">
      <c r="A11" s="14" t="s">
        <v>31</v>
      </c>
      <c r="B11" s="14" t="s">
        <v>32</v>
      </c>
      <c r="C11" s="13" t="s">
        <v>36</v>
      </c>
      <c r="D11" s="12">
        <v>68</v>
      </c>
      <c r="E11" s="16">
        <v>8.99</v>
      </c>
      <c r="F11" s="17">
        <f t="shared" si="0"/>
        <v>611.32000000000005</v>
      </c>
      <c r="I11" s="21"/>
      <c r="J11" s="22"/>
      <c r="L11" s="22"/>
    </row>
    <row r="12" spans="1:12" x14ac:dyDescent="0.3">
      <c r="A12" s="14" t="s">
        <v>34</v>
      </c>
      <c r="B12" s="14" t="s">
        <v>44</v>
      </c>
      <c r="C12" s="13" t="s">
        <v>33</v>
      </c>
      <c r="D12" s="12">
        <v>94</v>
      </c>
      <c r="E12" s="16">
        <v>4.99</v>
      </c>
      <c r="F12" s="17">
        <f t="shared" si="0"/>
        <v>469.06</v>
      </c>
      <c r="I12" s="21"/>
      <c r="J12" s="22"/>
      <c r="L12" s="22"/>
    </row>
    <row r="13" spans="1:12" x14ac:dyDescent="0.3">
      <c r="A13" s="14" t="s">
        <v>31</v>
      </c>
      <c r="B13" s="14" t="s">
        <v>45</v>
      </c>
      <c r="C13" s="13" t="s">
        <v>36</v>
      </c>
      <c r="D13" s="12">
        <v>57</v>
      </c>
      <c r="E13" s="16">
        <v>1.99</v>
      </c>
      <c r="F13" s="17">
        <f t="shared" si="0"/>
        <v>113.42999999999999</v>
      </c>
      <c r="I13" s="21"/>
      <c r="J13" s="22"/>
      <c r="L13" s="22"/>
    </row>
    <row r="14" spans="1:12" x14ac:dyDescent="0.3">
      <c r="A14" s="14" t="s">
        <v>31</v>
      </c>
      <c r="B14" s="14" t="s">
        <v>46</v>
      </c>
      <c r="C14" s="13" t="s">
        <v>36</v>
      </c>
      <c r="D14" s="12">
        <v>93</v>
      </c>
      <c r="E14" s="16">
        <v>19.989999999999998</v>
      </c>
      <c r="F14" s="17">
        <f t="shared" si="0"/>
        <v>1859.07</v>
      </c>
      <c r="I14" s="21"/>
      <c r="J14" s="22"/>
      <c r="L14" s="22"/>
    </row>
    <row r="15" spans="1:12" x14ac:dyDescent="0.3">
      <c r="A15" s="14" t="s">
        <v>31</v>
      </c>
      <c r="B15" s="14" t="s">
        <v>32</v>
      </c>
      <c r="C15" s="13" t="s">
        <v>33</v>
      </c>
      <c r="D15" s="12">
        <v>55</v>
      </c>
      <c r="E15" s="16">
        <v>4.99</v>
      </c>
      <c r="F15" s="17">
        <f t="shared" si="0"/>
        <v>274.45</v>
      </c>
      <c r="I15" s="21"/>
      <c r="J15" s="22"/>
      <c r="L15" s="22"/>
    </row>
    <row r="16" spans="1:12" x14ac:dyDescent="0.3">
      <c r="A16" s="14" t="s">
        <v>34</v>
      </c>
      <c r="B16" s="14" t="s">
        <v>47</v>
      </c>
      <c r="C16" s="13" t="s">
        <v>48</v>
      </c>
      <c r="D16" s="12">
        <v>74</v>
      </c>
      <c r="E16" s="16">
        <v>125</v>
      </c>
      <c r="F16" s="17">
        <f t="shared" si="0"/>
        <v>9250</v>
      </c>
      <c r="I16" s="21"/>
      <c r="J16" s="22"/>
      <c r="L16" s="22"/>
    </row>
    <row r="17" spans="1:12" x14ac:dyDescent="0.3">
      <c r="A17" s="14" t="s">
        <v>31</v>
      </c>
      <c r="B17" s="14" t="s">
        <v>32</v>
      </c>
      <c r="C17" s="13" t="s">
        <v>49</v>
      </c>
      <c r="D17" s="12">
        <v>94</v>
      </c>
      <c r="E17" s="16">
        <v>15.99</v>
      </c>
      <c r="F17" s="17">
        <f t="shared" si="0"/>
        <v>1503.06</v>
      </c>
      <c r="I17" s="21"/>
      <c r="J17" s="22"/>
      <c r="L17" s="22"/>
    </row>
    <row r="18" spans="1:12" x14ac:dyDescent="0.3">
      <c r="A18" s="14" t="s">
        <v>34</v>
      </c>
      <c r="B18" s="14" t="s">
        <v>44</v>
      </c>
      <c r="C18" s="13" t="s">
        <v>36</v>
      </c>
      <c r="D18" s="12">
        <v>7</v>
      </c>
      <c r="E18" s="16">
        <v>8.99</v>
      </c>
      <c r="F18" s="17">
        <f t="shared" si="0"/>
        <v>62.93</v>
      </c>
      <c r="I18" s="21"/>
      <c r="J18" s="22"/>
      <c r="L18" s="22"/>
    </row>
    <row r="19" spans="1:12" x14ac:dyDescent="0.3">
      <c r="A19" s="14" t="s">
        <v>31</v>
      </c>
      <c r="B19" s="14" t="s">
        <v>32</v>
      </c>
      <c r="C19" s="13" t="s">
        <v>39</v>
      </c>
      <c r="D19" s="12">
        <v>47</v>
      </c>
      <c r="E19" s="16">
        <v>8.99</v>
      </c>
      <c r="F19" s="17">
        <f t="shared" si="0"/>
        <v>422.53000000000003</v>
      </c>
      <c r="I19" s="21"/>
      <c r="J19" s="22"/>
      <c r="L19" s="22"/>
    </row>
    <row r="20" spans="1:12" x14ac:dyDescent="0.3">
      <c r="A20" s="14" t="s">
        <v>31</v>
      </c>
      <c r="B20" s="14" t="s">
        <v>46</v>
      </c>
      <c r="C20" s="13" t="s">
        <v>39</v>
      </c>
      <c r="D20" s="12">
        <v>19</v>
      </c>
      <c r="E20" s="16">
        <v>19.989999999999998</v>
      </c>
      <c r="F20" s="17">
        <f t="shared" si="0"/>
        <v>379.80999999999995</v>
      </c>
      <c r="I20" s="21"/>
      <c r="J20" s="22"/>
      <c r="L20" s="22"/>
    </row>
    <row r="21" spans="1:12" x14ac:dyDescent="0.3">
      <c r="A21" s="14" t="s">
        <v>34</v>
      </c>
      <c r="B21" s="14" t="s">
        <v>37</v>
      </c>
      <c r="C21" s="13" t="s">
        <v>49</v>
      </c>
      <c r="D21" s="12">
        <v>37</v>
      </c>
      <c r="E21" s="16">
        <v>4.99</v>
      </c>
      <c r="F21" s="17">
        <f t="shared" si="0"/>
        <v>184.63</v>
      </c>
      <c r="I21" s="21"/>
      <c r="J21" s="22"/>
      <c r="L21" s="22"/>
    </row>
    <row r="22" spans="1:12" x14ac:dyDescent="0.3">
      <c r="A22" s="14" t="s">
        <v>34</v>
      </c>
      <c r="B22" s="14" t="s">
        <v>47</v>
      </c>
      <c r="C22" s="13" t="s">
        <v>33</v>
      </c>
      <c r="D22" s="12">
        <v>46</v>
      </c>
      <c r="E22" s="16">
        <v>1.29</v>
      </c>
      <c r="F22" s="17">
        <f t="shared" si="0"/>
        <v>59.34</v>
      </c>
      <c r="I22" s="21"/>
      <c r="J22" s="22"/>
      <c r="L22" s="22"/>
    </row>
    <row r="23" spans="1:12" x14ac:dyDescent="0.3">
      <c r="A23" s="14" t="s">
        <v>31</v>
      </c>
      <c r="B23" s="14" t="s">
        <v>46</v>
      </c>
      <c r="C23" s="13" t="s">
        <v>49</v>
      </c>
      <c r="D23" s="12">
        <v>51</v>
      </c>
      <c r="E23" s="16">
        <v>15.99</v>
      </c>
      <c r="F23" s="17">
        <f t="shared" si="0"/>
        <v>815.49</v>
      </c>
      <c r="I23" s="21"/>
      <c r="J23" s="22"/>
      <c r="L23" s="22"/>
    </row>
    <row r="24" spans="1:12" x14ac:dyDescent="0.3">
      <c r="A24" s="14" t="s">
        <v>34</v>
      </c>
      <c r="B24" s="14" t="s">
        <v>38</v>
      </c>
      <c r="C24" s="13" t="s">
        <v>36</v>
      </c>
      <c r="D24" s="12">
        <v>24</v>
      </c>
      <c r="E24" s="16">
        <v>8.99</v>
      </c>
      <c r="F24" s="17">
        <f t="shared" si="0"/>
        <v>215.76</v>
      </c>
      <c r="I24" s="21"/>
      <c r="J24" s="22"/>
      <c r="L24" s="22"/>
    </row>
    <row r="25" spans="1:12" x14ac:dyDescent="0.3">
      <c r="A25" s="14" t="s">
        <v>34</v>
      </c>
      <c r="B25" s="14" t="s">
        <v>47</v>
      </c>
      <c r="C25" s="13" t="s">
        <v>36</v>
      </c>
      <c r="D25" s="12">
        <v>98</v>
      </c>
      <c r="E25" s="16">
        <v>15</v>
      </c>
      <c r="F25" s="17">
        <f t="shared" si="0"/>
        <v>1470</v>
      </c>
      <c r="I25" s="21"/>
      <c r="J25" s="22"/>
      <c r="L25" s="22"/>
    </row>
    <row r="26" spans="1:12" x14ac:dyDescent="0.3">
      <c r="A26" s="14" t="s">
        <v>31</v>
      </c>
      <c r="B26" s="14" t="s">
        <v>32</v>
      </c>
      <c r="C26" s="13" t="s">
        <v>33</v>
      </c>
      <c r="D26" s="12">
        <v>40</v>
      </c>
      <c r="E26" s="16">
        <v>4.99</v>
      </c>
      <c r="F26" s="17">
        <f t="shared" si="0"/>
        <v>199.60000000000002</v>
      </c>
      <c r="I26" s="21"/>
      <c r="J26" s="22"/>
      <c r="L26" s="22"/>
    </row>
    <row r="27" spans="1:12" x14ac:dyDescent="0.3">
      <c r="A27" s="14" t="s">
        <v>40</v>
      </c>
      <c r="B27" s="14" t="s">
        <v>41</v>
      </c>
      <c r="C27" s="13" t="s">
        <v>36</v>
      </c>
      <c r="D27" s="12">
        <v>94</v>
      </c>
      <c r="E27" s="16">
        <v>19.989999999999998</v>
      </c>
      <c r="F27" s="17">
        <f t="shared" si="0"/>
        <v>1879.06</v>
      </c>
      <c r="I27" s="21"/>
      <c r="J27" s="22"/>
      <c r="L27" s="22"/>
    </row>
    <row r="28" spans="1:12" x14ac:dyDescent="0.3">
      <c r="A28" s="14" t="s">
        <v>34</v>
      </c>
      <c r="B28" s="14" t="s">
        <v>37</v>
      </c>
      <c r="C28" s="13" t="s">
        <v>49</v>
      </c>
      <c r="D28" s="12">
        <v>57</v>
      </c>
      <c r="E28" s="16">
        <v>4.99</v>
      </c>
      <c r="F28" s="17">
        <f t="shared" si="0"/>
        <v>284.43</v>
      </c>
      <c r="I28" s="21"/>
      <c r="J28" s="22"/>
      <c r="L28" s="22"/>
    </row>
    <row r="29" spans="1:12" x14ac:dyDescent="0.3">
      <c r="A29" s="14" t="s">
        <v>34</v>
      </c>
      <c r="B29" s="14" t="s">
        <v>42</v>
      </c>
      <c r="C29" s="13" t="s">
        <v>33</v>
      </c>
      <c r="D29" s="12">
        <v>8</v>
      </c>
      <c r="E29" s="16">
        <v>1.99</v>
      </c>
      <c r="F29" s="17">
        <f t="shared" si="0"/>
        <v>15.92</v>
      </c>
      <c r="I29" s="21"/>
      <c r="J29" s="22"/>
      <c r="L29" s="22"/>
    </row>
    <row r="30" spans="1:12" x14ac:dyDescent="0.3">
      <c r="A30" s="14"/>
      <c r="B30" s="14"/>
      <c r="C30" s="13"/>
      <c r="D30" s="15"/>
      <c r="E30" s="16"/>
      <c r="F30" s="17"/>
    </row>
    <row r="31" spans="1:12" x14ac:dyDescent="0.3">
      <c r="A31" s="14"/>
      <c r="B31" s="14"/>
      <c r="C31" s="13"/>
      <c r="D31" s="15"/>
      <c r="E31" s="16"/>
      <c r="F31" s="17"/>
    </row>
    <row r="32" spans="1:12" x14ac:dyDescent="0.3">
      <c r="A32" s="14"/>
      <c r="B32" s="14"/>
      <c r="C32" s="13"/>
      <c r="D32" s="15"/>
      <c r="E32" s="16"/>
      <c r="F32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Indirect</vt:lpstr>
      <vt:lpstr>Jan</vt:lpstr>
      <vt:lpstr>Feb</vt:lpstr>
      <vt:lpstr>Indirect!Extract</vt:lpstr>
      <vt:lpstr>Kiran</vt:lpstr>
      <vt:lpstr>Manju</vt:lpstr>
      <vt:lpstr>MySQL</vt:lpstr>
      <vt:lpstr>Pooja</vt:lpstr>
      <vt:lpstr>Python</vt:lpstr>
      <vt:lpstr>Raju</vt:lpstr>
      <vt:lpstr>Ramesh</vt:lpstr>
      <vt:lpstr>Reshma</vt:lpstr>
      <vt:lpstr>Rohan</vt:lpstr>
      <vt:lpstr>Stats</vt:lpstr>
      <vt:lpstr>Student_Name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Raj</dc:creator>
  <cp:lastModifiedBy>Jeevan Raj</cp:lastModifiedBy>
  <dcterms:created xsi:type="dcterms:W3CDTF">2015-06-05T18:17:20Z</dcterms:created>
  <dcterms:modified xsi:type="dcterms:W3CDTF">2023-07-04T04:01:46Z</dcterms:modified>
</cp:coreProperties>
</file>